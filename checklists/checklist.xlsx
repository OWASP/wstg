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1"/>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HYPERLINK("https://owasp.org/www-project-web-security-testing-guide/latest/4-Web_Application_Security_Testing/01-Information_Gathering/01-Conduct_Search_Engine_Discovery_Reconnaissance_for_Information_Leakage", "Conduct Search Engine Discovery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HYPERLINK("https://owasp.org/www-project-web-security-testing-guide/latest/4-Web_Application_Security_Testing/02-Configuration_and_Deployment_Management_Testing/01-Test_Network_Infrastructure_Configuration", "Test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HYPERLINK("https://owasp.org/www-project-web-security-testing-guide/latest/4-Web_Application_Security_Testing/02-Configuration_and_Deployment_Management_Testing/02-Test_Application_Platform_Configuration", "Test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"Test File Extensions Handling for Sensitive Information")</f>
        <v/>
      </c>
      <c r="D20" s="16" t="inlineStr">
        <is>
          <t>- Enumerate sensitive file extensions that might contain raw data such as scripts or credentials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HYPERLINK("https://owasp.org/www-project-web-security-testing-guide/latest/4-Web_Application_Security_Testing/02-Configuration_and_Deployment_Management_Testing/06-Test_HTTP_Methods", "Test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"Test HTTP Strict Transport Security")</f>
        <v/>
      </c>
      <c r="D24" s="16" t="inlineStr">
        <is>
          <t>- Review the HSTS header and its validity.</t>
        </is>
      </c>
      <c r="E24" s="18" t="inlineStr">
        <is>
          <t>Not Started</t>
        </is>
      </c>
      <c r="F24" s="18" t="n"/>
    </row>
    <row r="25" ht="16.5" customHeight="1" s="82">
      <c r="A25" s="19" t="n"/>
      <c r="B25" s="34" t="inlineStr">
        <is>
          <t>WSTG-CONF-09</t>
        </is>
      </c>
      <c r="C25" s="15">
        <f>HYPERLINK("https://owasp.org/www-project-web-security-testing-guide/latest/4-Web_Application_Security_Testing/02-Configuration_and_Deployment_Management_Testing/09-Test_File_Permission", "Test File Permission")</f>
        <v/>
      </c>
      <c r="D25" s="16" t="inlineStr">
        <is>
          <t>- Review and identify any rogue file permissions.</t>
        </is>
      </c>
      <c r="E25" s="18" t="inlineStr">
        <is>
          <t>Not Started</t>
        </is>
      </c>
      <c r="F25" s="18" t="n"/>
    </row>
    <row r="26" ht="33" customHeight="1" s="82">
      <c r="A26" s="19" t="n"/>
      <c r="B26" s="34" t="inlineStr">
        <is>
          <t>WSTG-CONF-10</t>
        </is>
      </c>
      <c r="C26" s="15">
        <f>HYPERLINK("https://owasp.org/www-project-web-security-testing-guide/latest/4-Web_Application_Security_Testing/02-Configuration_and_Deployment_Management_Testing/10-Test_for_Subdomain_Takeover", "Test for Subdomain Takeover")</f>
        <v/>
      </c>
      <c r="D26" s="16" t="inlineStr">
        <is>
          <t>- Enumerate all possible domains (previous and current).
- Identify any forgotten or misconfigured domains.</t>
        </is>
      </c>
      <c r="E26" s="18" t="inlineStr">
        <is>
          <t>Not Started</t>
        </is>
      </c>
      <c r="F26" s="18" t="n"/>
    </row>
    <row r="27" ht="33" customHeight="1" s="82">
      <c r="A27" s="19" t="n"/>
      <c r="B27" s="34" t="inlineStr">
        <is>
          <t>WSTG-CONF-11</t>
        </is>
      </c>
      <c r="C27" s="15">
        <f>HYPERLINK("https://owasp.org/www-project-web-security-testing-guide/latest/4-Web_Application_Security_Testing/02-Configuration_and_Deployment_Management_Testing/11-Test_Cloud_Storage", "Test Cloud Storage")</f>
        <v/>
      </c>
      <c r="D27" s="16" t="inlineStr">
        <is>
          <t>- Assess that the access control configuration for the storage services is properly in place.</t>
        </is>
      </c>
      <c r="E27" s="18" t="inlineStr">
        <is>
          <t>Not Started</t>
        </is>
      </c>
      <c r="F27" s="18" t="n"/>
    </row>
    <row r="28" ht="33" customHeight="1" s="82">
      <c r="A28" s="19" t="n"/>
      <c r="B28" s="34" t="inlineStr">
        <is>
          <t>WSTG-CONF-12</t>
        </is>
      </c>
      <c r="C28" s="15">
        <f>HYPERLINK("https://owasp.org/www-project-web-security-testing-guide/latest/4-Web_Application_Security_Testing/02-Configuration_and_Deployment_Management_Testing/12-Test_for_Content_Security_Policy", "Testing for Content Security Policy")</f>
        <v/>
      </c>
      <c r="D28" s="16" t="inlineStr">
        <is>
          <t>- Review the Content-Security-Policy header or meta element to identify misconfigurations.</t>
        </is>
      </c>
      <c r="E28" s="18" t="inlineStr">
        <is>
          <t>Not Started</t>
        </is>
      </c>
      <c r="F28" s="18" t="n"/>
    </row>
    <row r="29" ht="16.5" customHeight="1" s="82">
      <c r="A29" s="19" t="n"/>
      <c r="B29" s="34" t="inlineStr">
        <is>
          <t>WSTG-CONF-13</t>
        </is>
      </c>
      <c r="C29" s="15">
        <f>HYPERLINK("https://owasp.org/www-project-web-security-testing-guide/latest/4-Web_Application_Security_Testing/02-Configuration_and_Deployment_Management_Testing/13-Test_for_Path_Confusion", "Test Path Confusion")</f>
        <v/>
      </c>
      <c r="D29" s="16" t="inlineStr">
        <is>
          <t>- Make sure application paths are configured correctly.</t>
        </is>
      </c>
      <c r="E29" s="18" t="inlineStr">
        <is>
          <t>Not Started</t>
        </is>
      </c>
      <c r="F29" s="18" t="n"/>
    </row>
    <row r="30" ht="66" customHeight="1" s="82">
      <c r="A30" s="19" t="n"/>
      <c r="B30" s="34" t="inlineStr">
        <is>
          <t>WSTG-CONF-14</t>
        </is>
      </c>
      <c r="C30" s="15">
        <f>HYPERLINK("https://owasp.org/www-project-web-security-testing-guide/latest/4-Web_Application_Security_Testing/02-Configuration_and_Deployment_Management_Testing/14-Test_Other_HTTP_Security_Header_Misconfigurations", "Test Other HTTP Security Header Misconfigurations")</f>
        <v/>
      </c>
      <c r="D30" s="16" t="inlineStr">
        <is>
          <t>- Identify improperly configured security headers.
- Assess the impact of misconfigured security headers.
- Validate the correct implementation of required security headers.</t>
        </is>
      </c>
      <c r="E30" s="18" t="inlineStr">
        <is>
          <t>Not Started</t>
        </is>
      </c>
      <c r="F30" s="18" t="n"/>
    </row>
    <row r="31" ht="15" customHeight="1" s="82">
      <c r="A31" s="97" t="n"/>
      <c r="B31" s="98" t="n"/>
      <c r="C31" s="99" t="n"/>
      <c r="D31" s="99" t="n"/>
      <c r="E31" s="99" t="n"/>
      <c r="F31" s="99" t="n"/>
    </row>
    <row r="32" ht="47.25" customHeight="1" s="82">
      <c r="A32" s="9" t="n"/>
      <c r="B32" s="100" t="inlineStr">
        <is>
          <t>Identity Management Testing</t>
        </is>
      </c>
      <c r="C32" s="101" t="inlineStr">
        <is>
          <t>Test Name</t>
        </is>
      </c>
      <c r="D32" s="101" t="inlineStr">
        <is>
          <t>Objectives</t>
        </is>
      </c>
      <c r="E32" s="101" t="inlineStr">
        <is>
          <t>Status</t>
        </is>
      </c>
      <c r="F32" s="101" t="inlineStr">
        <is>
          <t>Notes</t>
        </is>
      </c>
    </row>
    <row r="33" ht="66" customHeight="1" s="82">
      <c r="A33" s="19" t="n"/>
      <c r="B33" s="34" t="inlineStr">
        <is>
          <t>WSTG-IDNT-01</t>
        </is>
      </c>
      <c r="C33" s="15">
        <f>HYPERLINK("https://owasp.org/www-project-web-security-testing-guide/latest/4-Web_Application_Security_Testing/03-Identity_Management_Testing/01-Test_Role_Definitions", "Test Role Definitions")</f>
        <v/>
      </c>
      <c r="D33" s="16" t="inlineStr">
        <is>
          <t>- Identify and document roles used by the application.
- Attempt to switch, change, or access another role.
- Review the granularity of the roles and the needs behind the permissions given.</t>
        </is>
      </c>
      <c r="E33" s="18" t="inlineStr">
        <is>
          <t>Not Started</t>
        </is>
      </c>
      <c r="F33" s="18" t="n"/>
    </row>
    <row r="34" ht="49.5" customHeight="1" s="82">
      <c r="A34" s="19" t="n"/>
      <c r="B34" s="34" t="inlineStr">
        <is>
          <t>WSTG-IDNT-02</t>
        </is>
      </c>
      <c r="C34" s="15">
        <f>HYPERLINK("https://owasp.org/www-project-web-security-testing-guide/latest/4-Web_Application_Security_Testing/03-Identity_Management_Testing/02-Test_User_Registration_Process", "Test User Registration Process")</f>
        <v/>
      </c>
      <c r="D34" s="16" t="inlineStr">
        <is>
          <t>- Verify that the identity requirements for user registration are aligned with business and security requirements.
- Validate the registration process.</t>
        </is>
      </c>
      <c r="E34" s="18" t="inlineStr">
        <is>
          <t>Not Started</t>
        </is>
      </c>
      <c r="F34" s="18" t="n"/>
    </row>
    <row r="35" ht="33" customHeight="1" s="82">
      <c r="A35" s="19" t="n"/>
      <c r="B35" s="34" t="inlineStr">
        <is>
          <t>WSTG-IDNT-03</t>
        </is>
      </c>
      <c r="C35" s="15">
        <f>HYPERLINK("https://owasp.org/www-project-web-security-testing-guide/latest/4-Web_Application_Security_Testing/03-Identity_Management_Testing/03-Test_Account_Provisioning_Process", "Test Account Provisioning Process")</f>
        <v/>
      </c>
      <c r="D35" s="16" t="inlineStr">
        <is>
          <t>- Verify which accounts may provision other accounts and of what type.</t>
        </is>
      </c>
      <c r="E35" s="18" t="inlineStr">
        <is>
          <t>Not Started</t>
        </is>
      </c>
      <c r="F35" s="18" t="n"/>
    </row>
    <row r="36" ht="49.5" customHeight="1" s="82">
      <c r="A36" s="19" t="n"/>
      <c r="B36" s="34" t="inlineStr">
        <is>
          <t>WSTG-IDNT-04</t>
        </is>
      </c>
      <c r="C36" s="15">
        <f>HYPERLINK("https://owasp.org/www-project-web-security-testing-guide/latest/4-Web_Application_Security_Testing/03-Identity_Management_Testing/04-Testing_for_Account_Enumeration_and_Guessable_User_Account", "Testing for Account Enumeration and Guessable User Account")</f>
        <v/>
      </c>
      <c r="D36" s="16" t="inlineStr">
        <is>
          <t>- Review processes that pertain to user identification (*e.g.* registration, login, etc.).
- Enumerate users where possible through response analysis.</t>
        </is>
      </c>
      <c r="E36" s="18" t="inlineStr">
        <is>
          <t>Not Started</t>
        </is>
      </c>
      <c r="F36" s="18" t="n"/>
    </row>
    <row r="37" ht="33" customHeight="1" s="82">
      <c r="A37" s="19" t="n"/>
      <c r="B37" s="34" t="inlineStr">
        <is>
          <t>WSTG-IDNT-05</t>
        </is>
      </c>
      <c r="C37" s="15">
        <f>HYPERLINK("https://owasp.org/www-project-web-security-testing-guide/latest/4-Web_Application_Security_Testing/03-Identity_Management_Testing/05-Testing_for_Weak_or_Unenforced_Username_Policy", "Testing for Weak or Unenforced Username Policy")</f>
        <v/>
      </c>
      <c r="D37" s="16" t="inlineStr">
        <is>
          <t>N/A</t>
        </is>
      </c>
      <c r="E37" s="18" t="inlineStr">
        <is>
          <t>Not Started</t>
        </is>
      </c>
      <c r="F37" s="18" t="n"/>
    </row>
    <row r="38" ht="15" customHeight="1" s="82">
      <c r="A38" s="97" t="n"/>
      <c r="B38" s="98" t="n"/>
      <c r="C38" s="99" t="n"/>
      <c r="D38" s="99" t="n"/>
      <c r="E38" s="99" t="n"/>
      <c r="F38" s="99" t="n"/>
    </row>
    <row r="39" ht="47.25" customHeight="1" s="82">
      <c r="A39" s="9" t="n"/>
      <c r="B39" s="100" t="inlineStr">
        <is>
          <t>Authentication Testing</t>
        </is>
      </c>
      <c r="C39" s="101" t="inlineStr">
        <is>
          <t>Test Name</t>
        </is>
      </c>
      <c r="D39" s="101" t="inlineStr">
        <is>
          <t>Objectives</t>
        </is>
      </c>
      <c r="E39" s="101" t="inlineStr">
        <is>
          <t>Status</t>
        </is>
      </c>
      <c r="F39" s="101" t="inlineStr">
        <is>
          <t>Notes</t>
        </is>
      </c>
    </row>
    <row r="40" ht="33" customHeight="1" s="82">
      <c r="A40" s="19" t="n"/>
      <c r="B40" s="34" t="inlineStr">
        <is>
          <t>WSTG-ATHN-01</t>
        </is>
      </c>
      <c r="C40" s="15">
        <f>HYPERLINK("https://owasp.org/www-project-web-security-testing-guide/latest/4-Web_Application_Security_Testing/04-Authentication_Testing/01-Testing_for_Credentials_Transported_over_an_Encrypted_Channel", "Testing for Credentials Transported over an Encrypted Channel")</f>
        <v/>
      </c>
      <c r="D40" s="16" t="inlineStr">
        <is>
          <t>N/A</t>
        </is>
      </c>
      <c r="E40" s="18" t="inlineStr">
        <is>
          <t>Not Started</t>
        </is>
      </c>
      <c r="F40" s="18" t="n"/>
    </row>
    <row r="41" ht="66" customHeight="1" s="82">
      <c r="A41" s="19" t="n"/>
      <c r="B41" s="34" t="inlineStr">
        <is>
          <t>WSTG-ATHN-02</t>
        </is>
      </c>
      <c r="C41" s="15">
        <f>HYPERLINK("https://owasp.org/www-project-web-security-testing-guide/latest/4-Web_Application_Security_Testing/04-Authentication_Testing/02-Testing_for_Default_Credentials", "Testing for Default Credentials")</f>
        <v/>
      </c>
      <c r="D41" s="16" t="inlineStr">
        <is>
          <t>- Determine whether the application has any user accounts with default passwords.
- Review whether new user accounts are created with weak or predictable passwords.</t>
        </is>
      </c>
      <c r="E41" s="18" t="inlineStr">
        <is>
          <t>Not Started</t>
        </is>
      </c>
      <c r="F41" s="18" t="n"/>
    </row>
    <row r="42" ht="66" customHeight="1" s="82">
      <c r="A42" s="19" t="n"/>
      <c r="B42" s="34" t="inlineStr">
        <is>
          <t>WSTG-ATHN-03</t>
        </is>
      </c>
      <c r="C42" s="15">
        <f>HYPERLINK("https://owasp.org/www-project-web-security-testing-guide/latest/4-Web_Application_Security_Testing/04-Authentication_Testing/03-Testing_for_Weak_Lock_Out_Mechanism", "Testing for Weak Lock Out Mechanism")</f>
        <v/>
      </c>
      <c r="D42" s="16" t="inlineStr">
        <is>
          <t>- Evaluate the account lockout mechanism's ability to mitigate brute force password guessing.
- Evaluate the unlock mechanism's resistance to unauthorized account unlocking.</t>
        </is>
      </c>
      <c r="E42" s="18" t="inlineStr">
        <is>
          <t>Not Started</t>
        </is>
      </c>
      <c r="F42" s="18" t="n"/>
    </row>
    <row r="43" ht="33" customHeight="1" s="82">
      <c r="A43" s="19" t="n"/>
      <c r="B43" s="34" t="inlineStr">
        <is>
          <t>WSTG-ATHN-04</t>
        </is>
      </c>
      <c r="C43" s="15">
        <f>HYPERLINK("https://owasp.org/www-project-web-security-testing-guide/latest/4-Web_Application_Security_Testing/04-Authentication_Testing/04-Testing_for_Bypassing_Authentication_Schema", "Testing for Bypassing Authentication Schema")</f>
        <v/>
      </c>
      <c r="D43" s="16" t="inlineStr">
        <is>
          <t>- Ensure that authentication is applied across all services that require it.</t>
        </is>
      </c>
      <c r="E43" s="18" t="inlineStr">
        <is>
          <t>Not Started</t>
        </is>
      </c>
      <c r="F43" s="18" t="n"/>
    </row>
    <row r="44" ht="33" customHeight="1" s="82">
      <c r="A44" s="19" t="n"/>
      <c r="B44" s="34" t="inlineStr">
        <is>
          <t>WSTG-ATHN-05</t>
        </is>
      </c>
      <c r="C44" s="15">
        <f>HYPERLINK("https://owasp.org/www-project-web-security-testing-guide/latest/4-Web_Application_Security_Testing/04-Authentication_Testing/05-Testing_for_Vulnerable_Remember_Password", "Testing for Vulnerable Remember Password")</f>
        <v/>
      </c>
      <c r="D44" s="16" t="inlineStr">
        <is>
          <t>- Validate that the generated session is managed securely and do not put the user's credentials in danger.</t>
        </is>
      </c>
      <c r="E44" s="18" t="inlineStr">
        <is>
          <t>Not Started</t>
        </is>
      </c>
      <c r="F44" s="18" t="n"/>
    </row>
    <row r="45" ht="49.5" customHeight="1" s="82">
      <c r="A45" s="19" t="n"/>
      <c r="B45" s="34" t="inlineStr">
        <is>
          <t>WSTG-ATHN-06</t>
        </is>
      </c>
      <c r="C45" s="15">
        <f>HYPERLINK("https://owasp.org/www-project-web-security-testing-guide/latest/4-Web_Application_Security_Testing/04-Authentication_Testing/06-Testing_for_Browser_Cache_Weaknesses", "Testing for Browser Cache Weaknesses")</f>
        <v/>
      </c>
      <c r="D45" s="16" t="inlineStr">
        <is>
          <t>- Review if the application stores sensitive information on the client-side.
- Review if access can occur without authorization.</t>
        </is>
      </c>
      <c r="E45" s="18" t="inlineStr">
        <is>
          <t>Not Started</t>
        </is>
      </c>
      <c r="F45" s="18" t="n"/>
    </row>
    <row r="46" ht="66" customHeight="1" s="82">
      <c r="A46" s="19" t="n"/>
      <c r="B46" s="34" t="inlineStr">
        <is>
          <t>WSTG-ATHN-07</t>
        </is>
      </c>
      <c r="C46" s="15">
        <f>HYPERLINK("https://owasp.org/www-project-web-security-testing-guide/latest/4-Web_Application_Security_Testing/04-Authentication_Testing/07-Testing_for_Weak_Authentication_Methods", "Testing for Weak Authentication Methods")</f>
        <v/>
      </c>
      <c r="D46" s="16" t="inlineStr">
        <is>
          <t>- Determine the resistance of the application against brute force password guessing using available password dictionaries by evaluating the length, complexity, reuse, and aging requirements of passwords.</t>
        </is>
      </c>
      <c r="E46" s="18" t="inlineStr">
        <is>
          <t>Not Started</t>
        </is>
      </c>
      <c r="F46" s="18" t="n"/>
    </row>
    <row r="47" ht="49.5" customHeight="1" s="82">
      <c r="A47" s="19" t="n"/>
      <c r="B47" s="34" t="inlineStr">
        <is>
          <t>WSTG-ATHN-08</t>
        </is>
      </c>
      <c r="C47" s="15">
        <f>HYPERLINK("https://owasp.org/www-project-web-security-testing-guide/latest/4-Web_Application_Security_Testing/04-Authentication_Testing/08-Testing_for_Weak_Security_Question_Answer", "Testing for Weak Security Question Answer")</f>
        <v/>
      </c>
      <c r="D47" s="16" t="inlineStr">
        <is>
          <t>- Determine the complexity and how straight-forward the questions are.
- Assess possible user answers and brute force capabilities.</t>
        </is>
      </c>
      <c r="E47" s="18" t="inlineStr">
        <is>
          <t>Not Started</t>
        </is>
      </c>
      <c r="F47" s="18" t="n"/>
    </row>
    <row r="48" ht="33" customHeight="1" s="82">
      <c r="A48" s="19" t="n"/>
      <c r="B48" s="34" t="inlineStr">
        <is>
          <t>WSTG-ATHN-09</t>
        </is>
      </c>
      <c r="C48" s="15">
        <f>HYPERLINK("https://owasp.org/www-project-web-security-testing-guide/latest/4-Web_Application_Security_Testing/04-Authentication_Testing/09-Testing_for_Weak_Password_Change_or_Reset_Functionalities", "Testing for Weak Password Change or Reset Functionalities")</f>
        <v/>
      </c>
      <c r="D48" s="16" t="inlineStr">
        <is>
          <t>- Determine whether the password change and reset functionality allows accounts to be compromised.</t>
        </is>
      </c>
      <c r="E48" s="18" t="inlineStr">
        <is>
          <t>Not Started</t>
        </is>
      </c>
      <c r="F48" s="18" t="n"/>
    </row>
    <row r="49" ht="49.5" customHeight="1" s="82">
      <c r="A49" s="19" t="n"/>
      <c r="B49" s="34" t="inlineStr">
        <is>
          <t>WSTG-ATHN-10</t>
        </is>
      </c>
      <c r="C49" s="15">
        <f>HYPERLINK("https://owasp.org/www-project-web-security-testing-guide/latest/4-Web_Application_Security_Testing/04-Authentication_Testing/10-Testing_for_Weaker_Authentication_in_Alternative_Channel", "Testing for Weaker Authentication in Alternative Channel")</f>
        <v/>
      </c>
      <c r="D49" s="16" t="inlineStr">
        <is>
          <t>- Identify alternative authentication channels.
- Assess the security measures used and if any bypasses exists on the alternative channels.</t>
        </is>
      </c>
      <c r="E49" s="18" t="inlineStr">
        <is>
          <t>Not Started</t>
        </is>
      </c>
      <c r="F49" s="18" t="n"/>
    </row>
    <row r="50" ht="66" customHeight="1" s="82">
      <c r="A50" s="19" t="n"/>
      <c r="B50" s="34" t="inlineStr">
        <is>
          <t>WSTG-ATHN-11</t>
        </is>
      </c>
      <c r="C50" s="15">
        <f>HYPERLINK("https://owasp.org/www-project-web-security-testing-guide/latest/4-Web_Application_Security_Testing/04-Authentication_Testing/11-Testing_Multi-Factor_Authentication", "Testing Multi-Factor Authentication (MFA)")</f>
        <v/>
      </c>
      <c r="D50" s="16" t="inlineStr">
        <is>
          <t>- Identify the type of MFA used by the application.
- Determine whether the MFA implementation is robust and secure.
- Attempt to bypass the MFA.</t>
        </is>
      </c>
      <c r="E50" s="18" t="inlineStr">
        <is>
          <t>Not Started</t>
        </is>
      </c>
      <c r="F50" s="18" t="n"/>
    </row>
    <row r="51" ht="15" customHeight="1" s="82">
      <c r="A51" s="97" t="n"/>
      <c r="B51" s="98" t="n"/>
      <c r="C51" s="99" t="n"/>
      <c r="D51" s="99" t="n"/>
      <c r="E51" s="99" t="n"/>
      <c r="F51" s="99" t="n"/>
    </row>
    <row r="52" ht="47.25" customHeight="1" s="82">
      <c r="A52" s="9" t="n"/>
      <c r="B52" s="100" t="inlineStr">
        <is>
          <t>Authorization Testing</t>
        </is>
      </c>
      <c r="C52" s="101" t="inlineStr">
        <is>
          <t>Test Name</t>
        </is>
      </c>
      <c r="D52" s="101" t="inlineStr">
        <is>
          <t>Objectives</t>
        </is>
      </c>
      <c r="E52" s="101" t="inlineStr">
        <is>
          <t>Status</t>
        </is>
      </c>
      <c r="F52" s="101" t="inlineStr">
        <is>
          <t>Notes</t>
        </is>
      </c>
    </row>
    <row r="53" ht="49.5" customHeight="1" s="82">
      <c r="A53" s="19" t="n"/>
      <c r="B53" s="34" t="inlineStr">
        <is>
          <t>WSTG-ATHZ-01</t>
        </is>
      </c>
      <c r="C53" s="15">
        <f>HYPERLINK("https://owasp.org/www-project-web-security-testing-guide/latest/4-Web_Application_Security_Testing/05-Authorization_Testing/01-Testing_Directory_Traversal_File_Include", "Testing Directory Traversal File Include")</f>
        <v/>
      </c>
      <c r="D53" s="16" t="inlineStr">
        <is>
          <t>- Identify injection points that pertain to path traversal.
- Assess bypassing techniques and identify the extent of path traversal.</t>
        </is>
      </c>
      <c r="E53" s="18" t="inlineStr">
        <is>
          <t>Not Started</t>
        </is>
      </c>
      <c r="F53" s="18" t="n"/>
    </row>
    <row r="54" ht="33" customHeight="1" s="82">
      <c r="A54" s="19" t="n"/>
      <c r="B54" s="34" t="inlineStr">
        <is>
          <t>WSTG-ATHZ-02</t>
        </is>
      </c>
      <c r="C54" s="15">
        <f>HYPERLINK("https://owasp.org/www-project-web-security-testing-guide/latest/4-Web_Application_Security_Testing/05-Authorization_Testing/02-Testing_for_Bypassing_Authorization_Schema", "Testing for Bypassing Authorization Schema")</f>
        <v/>
      </c>
      <c r="D54" s="16" t="inlineStr">
        <is>
          <t>- Assess if unauthenticated, horizontal, or vertical access is possible.</t>
        </is>
      </c>
      <c r="E54" s="18" t="inlineStr">
        <is>
          <t>Not Started</t>
        </is>
      </c>
      <c r="F54" s="18" t="n"/>
    </row>
    <row r="55" ht="49.5" customHeight="1" s="82">
      <c r="A55" s="19" t="n"/>
      <c r="B55" s="34" t="inlineStr">
        <is>
          <t>WSTG-ATHZ-03</t>
        </is>
      </c>
      <c r="C55" s="15">
        <f>HYPERLINK("https://owasp.org/www-project-web-security-testing-guide/latest/4-Web_Application_Security_Testing/05-Authorization_Testing/03-Testing_for_Privilege_Escalation", "Testing for Privilege Escalation")</f>
        <v/>
      </c>
      <c r="D55" s="16" t="inlineStr">
        <is>
          <t>- Identify injection points related to privilege manipulation.
- Fuzz or otherwise attempt to bypass security measures.</t>
        </is>
      </c>
      <c r="E55" s="18" t="inlineStr">
        <is>
          <t>Not Started</t>
        </is>
      </c>
      <c r="F55" s="18" t="n"/>
    </row>
    <row r="56" ht="49.5" customHeight="1" s="82">
      <c r="A56" s="19" t="n"/>
      <c r="B56" s="34" t="inlineStr">
        <is>
          <t>WSTG-ATHZ-04</t>
        </is>
      </c>
      <c r="C56" s="15">
        <f>HYPERLINK("https://owasp.org/www-project-web-security-testing-guide/latest/4-Web_Application_Security_Testing/05-Authorization_Testing/04-Testing_for_Insecure_Direct_Object_References", "Testing for Insecure Direct Object References")</f>
        <v/>
      </c>
      <c r="D56" s="16" t="inlineStr">
        <is>
          <t>- Identify points where object references may occur.
- Assess the access control measures and if they're vulnerable to IDOR.</t>
        </is>
      </c>
      <c r="E56" s="18" t="inlineStr">
        <is>
          <t>Not Started</t>
        </is>
      </c>
      <c r="F56" s="18" t="n"/>
    </row>
    <row r="57" ht="33" customHeight="1" s="82">
      <c r="A57" s="19" t="n"/>
      <c r="B57" s="34" t="inlineStr">
        <is>
          <t>WSTG-ATHZ-05</t>
        </is>
      </c>
      <c r="C57" s="15">
        <f>HYPERLINK("https://owasp.org/www-project-web-security-testing-guide/latest/4-Web_Application_Security_Testing/05-Authorization_Testing/05-Testing_for_OAuth_Weaknesses", "Testing for OAuth Weaknesses")</f>
        <v/>
      </c>
      <c r="D57" s="16" t="inlineStr">
        <is>
          <t>- Determine if OAuth2 implementation is vulnerable or using a deprecated or custom implementation.</t>
        </is>
      </c>
      <c r="E57" s="18" t="inlineStr">
        <is>
          <t>Not Started</t>
        </is>
      </c>
      <c r="F57" s="18" t="n"/>
    </row>
    <row r="58" ht="15" customHeight="1" s="82">
      <c r="A58" s="97" t="n"/>
      <c r="B58" s="98" t="n"/>
      <c r="C58" s="99" t="n"/>
      <c r="D58" s="99" t="n"/>
      <c r="E58" s="99" t="n"/>
      <c r="F58" s="99" t="n"/>
    </row>
    <row r="59" ht="47.25" customHeight="1" s="82">
      <c r="A59" s="9" t="n"/>
      <c r="B59" s="100" t="inlineStr">
        <is>
          <t>Session Management Testing</t>
        </is>
      </c>
      <c r="C59" s="101" t="inlineStr">
        <is>
          <t>Test Name</t>
        </is>
      </c>
      <c r="D59" s="101" t="inlineStr">
        <is>
          <t>Objectives</t>
        </is>
      </c>
      <c r="E59" s="101" t="inlineStr">
        <is>
          <t>Status</t>
        </is>
      </c>
      <c r="F59" s="101" t="inlineStr">
        <is>
          <t>Notes</t>
        </is>
      </c>
    </row>
    <row r="60" ht="99" customHeight="1" s="82">
      <c r="A60" s="19" t="n"/>
      <c r="B60" s="34" t="inlineStr">
        <is>
          <t>WSTG-SESS-01</t>
        </is>
      </c>
      <c r="C60" s="15">
        <f>HYPERLINK("https://owasp.org/www-project-web-security-testing-guide/latest/4-Web_Application_Security_Testing/06-Session_Management_Testing/01-Testing_for_Session_Management_Schema", "Testing for Session Management Schema")</f>
        <v/>
      </c>
      <c r="D60" s="16" t="inlineStr">
        <is>
          <t>- Gather session tokens, for the same user and for different users where possible.
- Analyze and ensure that enough randomness exists to stop session forging attacks.
- Modify cookies that are not signed and contain information that can be manipulated.</t>
        </is>
      </c>
      <c r="E60" s="18" t="inlineStr">
        <is>
          <t>Not Started</t>
        </is>
      </c>
      <c r="F60" s="18" t="n"/>
    </row>
    <row r="61" ht="33" customHeight="1" s="82">
      <c r="A61" s="19" t="n"/>
      <c r="B61" s="34" t="inlineStr">
        <is>
          <t>WSTG-SESS-02</t>
        </is>
      </c>
      <c r="C61" s="15">
        <f>HYPERLINK("https://owasp.org/www-project-web-security-testing-guide/latest/4-Web_Application_Security_Testing/06-Session_Management_Testing/02-Testing_for_Cookies_Attributes", "Testing for Cookies Attributes")</f>
        <v/>
      </c>
      <c r="D61" s="16" t="inlineStr">
        <is>
          <t>- Ensure that the proper security configuration is set for cookies.</t>
        </is>
      </c>
      <c r="E61" s="18" t="inlineStr">
        <is>
          <t>Not Started</t>
        </is>
      </c>
      <c r="F61" s="18" t="n"/>
    </row>
    <row r="62" ht="33" customHeight="1" s="82">
      <c r="A62" s="19" t="n"/>
      <c r="B62" s="34" t="inlineStr">
        <is>
          <t>WSTG-SESS-03</t>
        </is>
      </c>
      <c r="C62" s="15">
        <f>HYPERLINK("https://owasp.org/www-project-web-security-testing-guide/latest/4-Web_Application_Security_Testing/06-Session_Management_Testing/03-Testing_for_Session_Fixation", "Testing for Session Fixation")</f>
        <v/>
      </c>
      <c r="D62" s="16" t="inlineStr">
        <is>
          <t>- Analyze the authentication mechanism and its flow.
- Force cookies and assess the impact.</t>
        </is>
      </c>
      <c r="E62" s="18" t="inlineStr">
        <is>
          <t>Not Started</t>
        </is>
      </c>
      <c r="F62" s="18" t="n"/>
    </row>
    <row r="63" ht="49.5" customHeight="1" s="82">
      <c r="A63" s="19" t="n"/>
      <c r="B63" s="34" t="inlineStr">
        <is>
          <t>WSTG-SESS-04</t>
        </is>
      </c>
      <c r="C63" s="15">
        <f>HYPERLINK("https://owasp.org/www-project-web-security-testing-guide/latest/4-Web_Application_Security_Testing/06-Session_Management_Testing/04-Testing_for_Exposed_Session_Variables", "Testing for Exposed Session Variables")</f>
        <v/>
      </c>
      <c r="D63" s="16" t="inlineStr">
        <is>
          <t>- Ensure that proper encryption is implemented.
- Review the caching configuration.
- Assess the channel and methods' security.</t>
        </is>
      </c>
      <c r="E63" s="18" t="inlineStr">
        <is>
          <t>Not Started</t>
        </is>
      </c>
      <c r="F63" s="18" t="n"/>
    </row>
    <row r="64" ht="33" customHeight="1" s="82">
      <c r="A64" s="19" t="n"/>
      <c r="B64" s="34" t="inlineStr">
        <is>
          <t>WSTG-SESS-05</t>
        </is>
      </c>
      <c r="C64" s="15">
        <f>HYPERLINK("https://owasp.org/www-project-web-security-testing-guide/latest/4-Web_Application_Security_Testing/06-Session_Management_Testing/05-Testing_for_Cross_Site_Request_Forgery", "Testing for Cross Site Request Forgery")</f>
        <v/>
      </c>
      <c r="D64" s="16" t="inlineStr">
        <is>
          <t>- Determine whether it is possible to initiate requests on a user's behalf that are not initiated by the user.</t>
        </is>
      </c>
      <c r="E64" s="18" t="inlineStr">
        <is>
          <t>Not Started</t>
        </is>
      </c>
      <c r="F64" s="18" t="n"/>
    </row>
    <row r="65" ht="49.5" customHeight="1" s="82">
      <c r="A65" s="19" t="n"/>
      <c r="B65" s="34" t="inlineStr">
        <is>
          <t>WSTG-SESS-06</t>
        </is>
      </c>
      <c r="C65" s="15">
        <f>HYPERLINK("https://owasp.org/www-project-web-security-testing-guide/latest/4-Web_Application_Security_Testing/06-Session_Management_Testing/06-Testing_for_Logout_Functionality", "Testing for Logout Functionality")</f>
        <v/>
      </c>
      <c r="D65" s="16" t="inlineStr">
        <is>
          <t>- Assess the logout UI.
- Analyze the session timeout and if the session is properly killed after logout.</t>
        </is>
      </c>
      <c r="E65" s="18" t="inlineStr">
        <is>
          <t>Not Started</t>
        </is>
      </c>
      <c r="F65" s="18" t="n"/>
    </row>
    <row r="66" ht="16.5" customHeight="1" s="82">
      <c r="A66" s="19" t="n"/>
      <c r="B66" s="34" t="inlineStr">
        <is>
          <t>WSTG-SESS-07</t>
        </is>
      </c>
      <c r="C66" s="15">
        <f>HYPERLINK("https://owasp.org/www-project-web-security-testing-guide/latest/4-Web_Application_Security_Testing/06-Session_Management_Testing/07-Testing_Session_Timeout", "Testing Session Timeout")</f>
        <v/>
      </c>
      <c r="D66" s="16" t="inlineStr">
        <is>
          <t>- Validate that a hard session timeout exists.</t>
        </is>
      </c>
      <c r="E66" s="18" t="inlineStr">
        <is>
          <t>Not Started</t>
        </is>
      </c>
      <c r="F66" s="18" t="n"/>
    </row>
    <row r="67" ht="33" customHeight="1" s="82">
      <c r="A67" s="19" t="n"/>
      <c r="B67" s="34" t="inlineStr">
        <is>
          <t>WSTG-SESS-08</t>
        </is>
      </c>
      <c r="C67" s="15">
        <f>HYPERLINK("https://owasp.org/www-project-web-security-testing-guide/latest/4-Web_Application_Security_Testing/06-Session_Management_Testing/08-Testing_for_Session_Puzzling", "Testing for Session Puzzling")</f>
        <v/>
      </c>
      <c r="D67" s="16" t="inlineStr">
        <is>
          <t>- Identify all session variables.
- Break the logical flow of session generation.</t>
        </is>
      </c>
      <c r="E67" s="18" t="inlineStr">
        <is>
          <t>Not Started</t>
        </is>
      </c>
      <c r="F67" s="18" t="n"/>
    </row>
    <row r="68" ht="33" customHeight="1" s="82">
      <c r="A68" s="19" t="n"/>
      <c r="B68" s="34" t="inlineStr">
        <is>
          <t>WSTG-SESS-09</t>
        </is>
      </c>
      <c r="C68" s="15">
        <f>HYPERLINK("https://owasp.org/www-project-web-security-testing-guide/latest/4-Web_Application_Security_Testing/06-Session_Management_Testing/09-Testing_for_Session_Hijacking", "Testing for Session Hijacking")</f>
        <v/>
      </c>
      <c r="D68" s="16" t="inlineStr">
        <is>
          <t>- Identify vulnerable session cookies.
- Hijack vulnerable cookies and assess the risk level.</t>
        </is>
      </c>
      <c r="E68" s="18" t="inlineStr">
        <is>
          <t>Not Started</t>
        </is>
      </c>
      <c r="F68" s="18" t="n"/>
    </row>
    <row r="69" ht="49.5" customHeight="1" s="82">
      <c r="A69" s="19" t="n"/>
      <c r="B69" s="34" t="inlineStr">
        <is>
          <t>WSTG-SESS-10</t>
        </is>
      </c>
      <c r="C69" s="15">
        <f>HYPERLINK("https://owasp.org/www-project-web-security-testing-guide/latest/4-Web_Application_Security_Testing/06-Session_Management_Testing/10-Testing_JSON_Web_Tokens", "Testing JSON Web Tokens")</f>
        <v/>
      </c>
      <c r="D69" s="16" t="inlineStr">
        <is>
          <t>- Determine whether the JWTs expose sensitive information.
- Determine whether the JWTs can be tampered with or modified.</t>
        </is>
      </c>
      <c r="E69" s="18" t="inlineStr">
        <is>
          <t>Not Started</t>
        </is>
      </c>
      <c r="F69" s="18" t="n"/>
    </row>
    <row r="70" ht="49.5" customHeight="1" s="82">
      <c r="A70" s="19" t="n"/>
      <c r="B70" s="34" t="inlineStr">
        <is>
          <t>WSTG-SESS-11</t>
        </is>
      </c>
      <c r="C70" s="15">
        <f>HYPERLINK("https://owasp.org/www-project-web-security-testing-guide/latest/4-Web_Application_Security_Testing/06-Session_Management_Testing/11-Testing_for_Concurrent_Sessions", "Testing for Concurrent Sessions")</f>
        <v/>
      </c>
      <c r="D70" s="16" t="inlineStr">
        <is>
          <t>- Evaluate the application's session management by assessing the handling of multiple active sessions for a single user account.</t>
        </is>
      </c>
      <c r="E70" s="18" t="inlineStr">
        <is>
          <t>Not Started</t>
        </is>
      </c>
      <c r="F70" s="18" t="n"/>
    </row>
    <row r="71" ht="15" customHeight="1" s="82">
      <c r="A71" s="97" t="n"/>
      <c r="B71" s="98" t="n"/>
      <c r="C71" s="99" t="n"/>
      <c r="D71" s="99" t="n"/>
      <c r="E71" s="99" t="n"/>
      <c r="F71" s="99" t="n"/>
    </row>
    <row r="72" ht="47.25" customHeight="1" s="82">
      <c r="A72" s="9" t="n"/>
      <c r="B72" s="100" t="inlineStr">
        <is>
          <t>Input Validation Testing</t>
        </is>
      </c>
      <c r="C72" s="101" t="inlineStr">
        <is>
          <t>Test Name</t>
        </is>
      </c>
      <c r="D72" s="101" t="inlineStr">
        <is>
          <t>Objectives</t>
        </is>
      </c>
      <c r="E72" s="101" t="inlineStr">
        <is>
          <t>Status</t>
        </is>
      </c>
      <c r="F72" s="101" t="inlineStr">
        <is>
          <t>Notes</t>
        </is>
      </c>
    </row>
    <row r="73" ht="49.5" customHeight="1" s="82">
      <c r="A73" s="19" t="n"/>
      <c r="B73" s="34" t="inlineStr">
        <is>
          <t>WSTG-INPV-01</t>
        </is>
      </c>
      <c r="C73" s="15">
        <f>HYPERLINK("https://owasp.org/www-project-web-security-testing-guide/latest/4-Web_Application_Security_Testing/07-Input_Validation_Testing/01-Testing_for_Reflected_Cross_Site_Scripting", "Testing for Reflected Cross Site Scripting")</f>
        <v/>
      </c>
      <c r="D73" s="16" t="inlineStr">
        <is>
          <t>- Identify variables that are reflected in responses.
- Assess the input they accept and the encoding that gets applied on return (if any).</t>
        </is>
      </c>
      <c r="E73" s="18" t="inlineStr">
        <is>
          <t>Not Started</t>
        </is>
      </c>
      <c r="F73" s="18" t="n"/>
    </row>
    <row r="74" ht="66" customHeight="1" s="82">
      <c r="A74" s="19" t="n"/>
      <c r="B74" s="34" t="inlineStr">
        <is>
          <t>WSTG-INPV-02</t>
        </is>
      </c>
      <c r="C74" s="15">
        <f>HYPERLINK("https://owasp.org/www-project-web-security-testing-guide/latest/4-Web_Application_Security_Testing/07-Input_Validation_Testing/02-Testing_for_Stored_Cross_Site_Scripting", "Testing for Stored Cross Site Scripting")</f>
        <v/>
      </c>
      <c r="D74" s="16" t="inlineStr">
        <is>
          <t>- Identify stored input that is reflected on the client-side.
- Assess the input they accept and the encoding that gets applied on return (if any).</t>
        </is>
      </c>
      <c r="E74" s="18" t="inlineStr">
        <is>
          <t>Not Started</t>
        </is>
      </c>
      <c r="F74" s="18" t="n"/>
    </row>
    <row r="75" ht="16.5" customHeight="1" s="82">
      <c r="A75" s="19" t="n"/>
      <c r="B75" s="34" t="inlineStr">
        <is>
          <t>WSTG-INPV-03</t>
        </is>
      </c>
      <c r="C75" s="15">
        <f>HYPERLINK("https://owasp.org/www-project-web-security-testing-guide/latest/4-Web_Application_Security_Testing/07-Input_Validation_Testing/03-Testing_for_HTTP_Verb_Tampering", "Testing for HTTP Verb Tampering")</f>
        <v/>
      </c>
      <c r="D75" s="16" t="inlineStr">
        <is>
          <t>N/A</t>
        </is>
      </c>
      <c r="E75" s="18" t="inlineStr">
        <is>
          <t>Not Started</t>
        </is>
      </c>
      <c r="F75" s="18" t="n"/>
    </row>
    <row r="76" ht="49.5" customHeight="1" s="82">
      <c r="A76" s="19" t="n"/>
      <c r="B76" s="34" t="inlineStr">
        <is>
          <t>WSTG-INPV-04</t>
        </is>
      </c>
      <c r="C76" s="15">
        <f>HYPERLINK("https://owasp.org/www-project-web-security-testing-guide/latest/4-Web_Application_Security_Testing/07-Input_Validation_Testing/04-Testing_for_HTTP_Parameter_Pollution", "Testing for HTTP Parameter Pollution")</f>
        <v/>
      </c>
      <c r="D76" s="16" t="inlineStr">
        <is>
          <t>- Identify the backend and the parsing method used.
- Assess injection points and try bypassing input filters using HPP.</t>
        </is>
      </c>
      <c r="E76" s="18" t="inlineStr">
        <is>
          <t>Not Started</t>
        </is>
      </c>
      <c r="F76" s="18" t="n"/>
    </row>
    <row r="77" ht="49.5" customHeight="1" s="82">
      <c r="A77" s="19" t="n"/>
      <c r="B77" s="34" t="inlineStr">
        <is>
          <t>WSTG-INPV-05</t>
        </is>
      </c>
      <c r="C77" s="15">
        <f>HYPERLINK("https://owasp.org/www-project-web-security-testing-guide/latest/4-Web_Application_Security_Testing/07-Input_Validation_Testing/05-Testing_for_SQL_Injection", "Testing for SQL Injection")</f>
        <v/>
      </c>
      <c r="D77" s="16" t="inlineStr">
        <is>
          <t>- Identify SQL injection points.
- Assess the severity of the injection and the level of access that can be achieved through it.</t>
        </is>
      </c>
      <c r="E77" s="18" t="inlineStr">
        <is>
          <t>Not Started</t>
        </is>
      </c>
      <c r="F77" s="18" t="n"/>
    </row>
    <row r="78" ht="33" customHeight="1" s="82">
      <c r="A78" s="19" t="n"/>
      <c r="B78" s="34" t="inlineStr">
        <is>
          <t>WSTG-INPV-06</t>
        </is>
      </c>
      <c r="C78" s="15">
        <f>HYPERLINK("https://owasp.org/www-project-web-security-testing-guide/latest/4-Web_Application_Security_Testing/07-Input_Validation_Testing/06-Testing_for_LDAP_Injection", "Testing for LDAP Injection")</f>
        <v/>
      </c>
      <c r="D78" s="16" t="inlineStr">
        <is>
          <t>- Identify LDAP injection points.
- Assess the severity of the injection.</t>
        </is>
      </c>
      <c r="E78" s="18" t="inlineStr">
        <is>
          <t>Not Started</t>
        </is>
      </c>
      <c r="F78" s="18" t="n"/>
    </row>
    <row r="79" ht="49.5" customHeight="1" s="82">
      <c r="A79" s="19" t="n"/>
      <c r="B79" s="34" t="inlineStr">
        <is>
          <t>WSTG-INPV-07</t>
        </is>
      </c>
      <c r="C79" s="15">
        <f>HYPERLINK("https://owasp.org/www-project-web-security-testing-guide/latest/4-Web_Application_Security_Testing/07-Input_Validation_Testing/07-Testing_for_XML_Injection", "Testing for XML Injection")</f>
        <v/>
      </c>
      <c r="D79" s="16" t="inlineStr">
        <is>
          <t>- Identify XML injection points.
- Assess the types of exploits that can be attained and their severities.</t>
        </is>
      </c>
      <c r="E79" s="18" t="inlineStr">
        <is>
          <t>Not Started</t>
        </is>
      </c>
      <c r="F79" s="18" t="n"/>
    </row>
    <row r="80" ht="33" customHeight="1" s="82">
      <c r="A80" s="19" t="n"/>
      <c r="B80" s="34" t="inlineStr">
        <is>
          <t>WSTG-INPV-08</t>
        </is>
      </c>
      <c r="C80" s="15">
        <f>HYPERLINK("https://owasp.org/www-project-web-security-testing-guide/latest/4-Web_Application_Security_Testing/07-Input_Validation_Testing/08-Testing_for_SSI_Injection", "Testing for SSI Injection")</f>
        <v/>
      </c>
      <c r="D80" s="16" t="inlineStr">
        <is>
          <t>- Identify SSI injection points.
- Assess the severity of the injection.</t>
        </is>
      </c>
      <c r="E80" s="18" t="inlineStr">
        <is>
          <t>Not Started</t>
        </is>
      </c>
      <c r="F80" s="18" t="n"/>
    </row>
    <row r="81" ht="16.5" customHeight="1" s="82">
      <c r="A81" s="19" t="n"/>
      <c r="B81" s="34" t="inlineStr">
        <is>
          <t>WSTG-INPV-09</t>
        </is>
      </c>
      <c r="C81" s="15">
        <f>HYPERLINK("https://owasp.org/www-project-web-security-testing-guide/latest/4-Web_Application_Security_Testing/07-Input_Validation_Testing/09-Testing_for_XPath_Injection", "Testing for XPath Injection")</f>
        <v/>
      </c>
      <c r="D81" s="16" t="inlineStr">
        <is>
          <t>- Identify XPATH injection points.</t>
        </is>
      </c>
      <c r="E81" s="18" t="inlineStr">
        <is>
          <t>Not Started</t>
        </is>
      </c>
      <c r="F81" s="18" t="n"/>
    </row>
    <row r="82" ht="66" customHeight="1" s="82">
      <c r="A82" s="19" t="n"/>
      <c r="B82" s="34" t="inlineStr">
        <is>
          <t>WSTG-INPV-10</t>
        </is>
      </c>
      <c r="C82" s="15">
        <f>HYPERLINK("https://owasp.org/www-project-web-security-testing-guide/latest/4-Web_Application_Security_Testing/07-Input_Validation_Testing/10-Testing_for_IMAP_SMTP_Injection", "Testing for IMAP SMTP Injection")</f>
        <v/>
      </c>
      <c r="D82" s="16" t="inlineStr">
        <is>
          <t>- Identify IMAP/SMTP injection points.
- Understand the data flow and deployment structure of the system.
- Assess the injection impacts.</t>
        </is>
      </c>
      <c r="E82" s="18" t="inlineStr">
        <is>
          <t>Not Started</t>
        </is>
      </c>
      <c r="F82" s="18" t="n"/>
    </row>
    <row r="83" ht="49.5" customHeight="1" s="82">
      <c r="A83" s="19" t="n"/>
      <c r="B83" s="34" t="inlineStr">
        <is>
          <t>WSTG-INPV-11</t>
        </is>
      </c>
      <c r="C83" s="15">
        <f>HYPERLINK("https://owasp.org/www-project-web-security-testing-guide/latest/4-Web_Application_Security_Testing/07-Input_Validation_Testing/11-Testing_for_Code_Injection", "Testing for Code Injection")</f>
        <v/>
      </c>
      <c r="D83" s="16" t="inlineStr">
        <is>
          <t>- Identify injection points where you can inject code into the application.
- Assess the injection severity.</t>
        </is>
      </c>
      <c r="E83" s="18" t="inlineStr">
        <is>
          <t>Not Started</t>
        </is>
      </c>
      <c r="F83" s="18" t="n"/>
    </row>
    <row r="84" ht="33" customHeight="1" s="82">
      <c r="A84" s="19" t="n"/>
      <c r="B84" s="34" t="inlineStr">
        <is>
          <t>WSTG-INPV-12</t>
        </is>
      </c>
      <c r="C84" s="15">
        <f>HYPERLINK("https://owasp.org/www-project-web-security-testing-guide/latest/4-Web_Application_Security_Testing/07-Input_Validation_Testing/12-Testing_for_Command_Injection", "Testing for Command Injection")</f>
        <v/>
      </c>
      <c r="D84" s="16" t="inlineStr">
        <is>
          <t>- Identify and assess command injection points.
- Bypass special characters and OS commands filter.</t>
        </is>
      </c>
      <c r="E84" s="18" t="inlineStr">
        <is>
          <t>Not Started</t>
        </is>
      </c>
      <c r="F84" s="18" t="n"/>
    </row>
    <row r="85" ht="49.5" customHeight="1" s="82">
      <c r="A85" s="19" t="n"/>
      <c r="B85" s="34" t="inlineStr">
        <is>
          <t>WSTG-INPV-13</t>
        </is>
      </c>
      <c r="C85" s="15">
        <f>HYPERLINK("https://owasp.org/www-project-web-security-testing-guide/latest/4-Web_Application_Security_Testing/07-Input_Validation_Testing/13-Testing_for_Format_String_Injection", "Testing for Format String Injection")</f>
        <v/>
      </c>
      <c r="D85" s="16" t="inlineStr">
        <is>
          <t>- Assess whether injecting format string conversion specifiers into user-controlled fields causes undesired behavior from the application.</t>
        </is>
      </c>
      <c r="E85" s="18" t="inlineStr">
        <is>
          <t>Not Started</t>
        </is>
      </c>
      <c r="F85" s="18" t="n"/>
    </row>
    <row r="86" ht="66" customHeight="1" s="82">
      <c r="A86" s="19" t="n"/>
      <c r="B86" s="34" t="inlineStr">
        <is>
          <t>WSTG-INPV-14</t>
        </is>
      </c>
      <c r="C86" s="15">
        <f>HYPERLINK("https://owasp.org/www-project-web-security-testing-guide/latest/4-Web_Application_Security_Testing/07-Input_Validation_Testing/14-Testing_for_Incubated_Vulnerability", "Testing for Incubated Vulnerability")</f>
        <v/>
      </c>
      <c r="D86" s="16" t="inlineStr">
        <is>
          <t>- Identify injections that are stored and require a recall step to the stored injection.
- Understand how a recall step could occur.
- Set listeners or activate the recall step if possible.</t>
        </is>
      </c>
      <c r="E86" s="18" t="inlineStr">
        <is>
          <t>Not Started</t>
        </is>
      </c>
      <c r="F86" s="18" t="n"/>
    </row>
    <row r="87" ht="115.5" customHeight="1" s="82">
      <c r="A87" s="19" t="n"/>
      <c r="B87" s="34" t="inlineStr">
        <is>
          <t>WSTG-INPV-15</t>
        </is>
      </c>
      <c r="C87" s="15">
        <f>HYPERLINK("https://owasp.org/www-project-web-security-testing-guide/latest/4-Web_Application_Security_Testing/07-Input_Validation_Testing/15-Testing_for_HTTP_Response_Splitting", "Testing for HTTP Response Splitting")</f>
        <v/>
      </c>
      <c r="D87"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7" s="18" t="inlineStr">
        <is>
          <t>Not Started</t>
        </is>
      </c>
      <c r="F87" s="18" t="n"/>
    </row>
    <row r="88" ht="99" customHeight="1" s="82">
      <c r="A88" s="19" t="n"/>
      <c r="B88" s="34" t="inlineStr">
        <is>
          <t>WSTG-INPV-16</t>
        </is>
      </c>
      <c r="C88" s="15">
        <f>HYPERLINK("https://owasp.org/www-project-web-security-testing-guide/latest/4-Web_Application_Security_Testing/07-Input_Validation_Testing/16-Testing_for_HTTP_Request_Smuggling", "Testing for HTTP Request Smuggling")</f>
        <v/>
      </c>
      <c r="D88"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88" s="18" t="inlineStr">
        <is>
          <t>Not Started</t>
        </is>
      </c>
      <c r="F88" s="18" t="n"/>
    </row>
    <row r="89" ht="49.5" customHeight="1" s="82">
      <c r="A89" s="19" t="n"/>
      <c r="B89" s="34" t="inlineStr">
        <is>
          <t>WSTG-INPV-17</t>
        </is>
      </c>
      <c r="C89" s="15">
        <f>HYPERLINK("https://owasp.org/www-project-web-security-testing-guide/latest/4-Web_Application_Security_Testing/07-Input_Validation_Testing/17-Testing_for_Host_Header_Injection", "Testing for Host Header Injection")</f>
        <v/>
      </c>
      <c r="D89" s="16" t="inlineStr">
        <is>
          <t>- Assess if the Host header is being parsed dynamically in the application.
- Bypass security controls that rely on the header.</t>
        </is>
      </c>
      <c r="E89" s="18" t="inlineStr">
        <is>
          <t>Not Started</t>
        </is>
      </c>
      <c r="F89" s="18" t="n"/>
    </row>
    <row r="90" ht="49.5" customHeight="1" s="82">
      <c r="A90" s="19" t="n"/>
      <c r="B90" s="34" t="inlineStr">
        <is>
          <t>WSTG-INPV-18</t>
        </is>
      </c>
      <c r="C90" s="15">
        <f>HYPERLINK("https://owasp.org/www-project-web-security-testing-guide/latest/4-Web_Application_Security_Testing/07-Input_Validation_Testing/18-Testing_for_Server-side_Template_Injection", "Testing for Server-side Template Injection")</f>
        <v/>
      </c>
      <c r="D90" s="16" t="inlineStr">
        <is>
          <t>- Detect template injection vulnerability points.
- Identify the templating engine.
- Build the exploit.</t>
        </is>
      </c>
      <c r="E90" s="18" t="inlineStr">
        <is>
          <t>Not Started</t>
        </is>
      </c>
      <c r="F90" s="18" t="n"/>
    </row>
    <row r="91" ht="49.5" customHeight="1" s="82">
      <c r="A91" s="19" t="n"/>
      <c r="B91" s="34" t="inlineStr">
        <is>
          <t>WSTG-INPV-19</t>
        </is>
      </c>
      <c r="C91" s="15">
        <f>HYPERLINK("https://owasp.org/www-project-web-security-testing-guide/latest/4-Web_Application_Security_Testing/07-Input_Validation_Testing/19-Testing_for_Server-Side_Request_Forgery", "Testing for Server-Side Request Forgery")</f>
        <v/>
      </c>
      <c r="D91" s="16" t="inlineStr">
        <is>
          <t>- Identify SSRF injection points.
- Test if the injection points are exploitable.
- Asses the severity of the vulnerability.</t>
        </is>
      </c>
      <c r="E91" s="18" t="inlineStr">
        <is>
          <t>Not Started</t>
        </is>
      </c>
      <c r="F91" s="18" t="n"/>
    </row>
    <row r="92" ht="49.5" customHeight="1" s="82">
      <c r="A92" s="19" t="n"/>
      <c r="B92" s="34" t="inlineStr">
        <is>
          <t>WSTG-INPV-20</t>
        </is>
      </c>
      <c r="C92" s="15">
        <f>HYPERLINK("https://owasp.org/www-project-web-security-testing-guide/latest/4-Web_Application_Security_Testing/07-Input_Validation_Testing/20-Testing_for_Mass_Assignment", "Testing for Mass Assignment")</f>
        <v/>
      </c>
      <c r="D92" s="16" t="inlineStr">
        <is>
          <t>- Identify requests that modify objects
- Assess if it is possible to modify fields never intended to be modified from outside</t>
        </is>
      </c>
      <c r="E92" s="18" t="inlineStr">
        <is>
          <t>Not Started</t>
        </is>
      </c>
      <c r="F92" s="18" t="n"/>
    </row>
    <row r="93" ht="181.5" customHeight="1" s="82">
      <c r="A93" s="19" t="n"/>
      <c r="B93" s="34" t="inlineStr">
        <is>
          <t>WSTG-INPV-21</t>
        </is>
      </c>
      <c r="C93" s="15">
        <f>HYPERLINK("https://owasp.org/www-project-web-security-testing-guide/latest/4-Web_Application_Security_Testing/07-Input_Validation_Testing/21-Testing_for_CSV_Injection", "Testing for CSV Injection")</f>
        <v/>
      </c>
      <c r="D93" s="16" t="inlineStr">
        <is>
          <t>- Identify CSV/spreadsheet export features that include untrusted input.
- Verify whether attacker-controlled values are interpreted as formulas when the export is opened in common spreadsheet applications.
- Check whether separator/quote injection can move a dangerous prefix to the start of a cell.
- Validate whether mitigations remain effective in Microsoft Excel after saving and re-opening the CSV.
- Assess practical impact based on who opens the export and how it is used.</t>
        </is>
      </c>
      <c r="E93" s="18" t="inlineStr">
        <is>
          <t>Not Started</t>
        </is>
      </c>
      <c r="F93" s="18" t="n"/>
    </row>
    <row r="94" ht="99" customHeight="1" s="82">
      <c r="A94" s="19" t="n"/>
      <c r="B94" s="34" t="inlineStr">
        <is>
          <t>WSTG-INPV-22</t>
        </is>
      </c>
      <c r="C94" s="15">
        <f>HYPERLINK("https://owasp.org/www-project-web-security-testing-guide/latest/4-Web_Application_Security_Testing/07-Input_Validation_Testing/22-Testing_for_Prototype_Pollution", "Testing for Prototype Pollution")</f>
        <v/>
      </c>
      <c r="D94" s="16" t="inlineStr">
        <is>
          <t>- Identify functions and libraries that recursively merge, clone, or assign user-controlled properties.
- Determine whether user input can reach and modify `Object.prototype`.
- Identify gadgets that turn prototype pollution into a concrete impact.</t>
        </is>
      </c>
      <c r="E94" s="18" t="inlineStr">
        <is>
          <t>Not Started</t>
        </is>
      </c>
      <c r="F94" s="18" t="n"/>
    </row>
    <row r="95" ht="15" customHeight="1" s="82">
      <c r="A95" s="97" t="n"/>
      <c r="B95" s="98" t="n"/>
      <c r="C95" s="99" t="n"/>
      <c r="D95" s="99" t="n"/>
      <c r="E95" s="99" t="n"/>
      <c r="F95" s="99" t="n"/>
    </row>
    <row r="96" ht="47.25" customHeight="1" s="82">
      <c r="A96" s="9" t="n"/>
      <c r="B96" s="100" t="inlineStr">
        <is>
          <t>Testing for Error Handling</t>
        </is>
      </c>
      <c r="C96" s="101" t="inlineStr">
        <is>
          <t>Test Name</t>
        </is>
      </c>
      <c r="D96" s="101" t="inlineStr">
        <is>
          <t>Objectives</t>
        </is>
      </c>
      <c r="E96" s="101" t="inlineStr">
        <is>
          <t>Status</t>
        </is>
      </c>
      <c r="F96" s="101" t="inlineStr">
        <is>
          <t>Notes</t>
        </is>
      </c>
    </row>
    <row r="97" ht="33" customHeight="1" s="82">
      <c r="A97" s="19" t="n"/>
      <c r="B97" s="34" t="inlineStr">
        <is>
          <t>WSTG-ERRH-01</t>
        </is>
      </c>
      <c r="C97" s="15">
        <f>HYPERLINK("https://owasp.org/www-project-web-security-testing-guide/latest/4-Web_Application_Security_Testing/08-Testing_for_Error_Handling/01-Testing_For_Improper_Error_Handling", "Testing for Improper Error Handling")</f>
        <v/>
      </c>
      <c r="D97" s="16" t="inlineStr">
        <is>
          <t>- Identify existing error output.
- Analyze the different output returned.</t>
        </is>
      </c>
      <c r="E97" s="18" t="inlineStr">
        <is>
          <t>Not Started</t>
        </is>
      </c>
      <c r="F97" s="18" t="n"/>
    </row>
    <row r="98" ht="16.5" customHeight="1" s="82">
      <c r="A98" s="19" t="n"/>
      <c r="B98" s="34" t="inlineStr">
        <is>
          <t>WSTG-ERRH-02</t>
        </is>
      </c>
      <c r="C98" s="15">
        <f>HYPERLINK("https://owasp.org/www-project-web-security-testing-guide/latest/4-Web_Application_Security_Testing/08-Testing_for_Error_Handling/02-Testing_for_Stack_Traces", "Testing for Stack Traces")</f>
        <v/>
      </c>
      <c r="D98" s="16" t="inlineStr">
        <is>
          <t>N/A</t>
        </is>
      </c>
      <c r="E98" s="18" t="inlineStr">
        <is>
          <t>Not Started</t>
        </is>
      </c>
      <c r="F98" s="18" t="n"/>
    </row>
    <row r="99" ht="15" customHeight="1" s="82">
      <c r="A99" s="97" t="n"/>
      <c r="B99" s="98" t="n"/>
      <c r="C99" s="99" t="n"/>
      <c r="D99" s="99" t="n"/>
      <c r="E99" s="99" t="n"/>
      <c r="F99" s="99" t="n"/>
    </row>
    <row r="100" ht="47.25" customHeight="1" s="82">
      <c r="A100" s="9" t="n"/>
      <c r="B100" s="100" t="inlineStr">
        <is>
          <t>Testing for Weak Cryptography</t>
        </is>
      </c>
      <c r="C100" s="101" t="inlineStr">
        <is>
          <t>Test Name</t>
        </is>
      </c>
      <c r="D100" s="101" t="inlineStr">
        <is>
          <t>Objectives</t>
        </is>
      </c>
      <c r="E100" s="101" t="inlineStr">
        <is>
          <t>Status</t>
        </is>
      </c>
      <c r="F100" s="101" t="inlineStr">
        <is>
          <t>Notes</t>
        </is>
      </c>
    </row>
    <row r="101" ht="82.5" customHeight="1" s="82">
      <c r="A101" s="19" t="n"/>
      <c r="B101" s="34" t="inlineStr">
        <is>
          <t>WSTG-CRYP-01</t>
        </is>
      </c>
      <c r="C101" s="15">
        <f>HYPERLINK("https://owasp.org/www-project-web-security-testing-guide/latest/4-Web_Application_Security_Testing/09-Testing_for_Weak_Cryptography/01-Testing_for_Weak_Transport_Layer_Security", "Testing for Weak Transport Layer Security")</f>
        <v/>
      </c>
      <c r="D101" s="16" t="inlineStr">
        <is>
          <t>- Validate the service configuration.
- Review the digital certificate's cryptographic strength and validity.
- Ensure that the TLS security is not bypassable and is properly implemented across the application.</t>
        </is>
      </c>
      <c r="E101" s="18" t="inlineStr">
        <is>
          <t>Not Started</t>
        </is>
      </c>
      <c r="F101" s="18" t="n"/>
    </row>
    <row r="102" ht="49.5" customHeight="1" s="82">
      <c r="A102" s="19" t="n"/>
      <c r="B102" s="34" t="inlineStr">
        <is>
          <t>WSTG-CRYP-02</t>
        </is>
      </c>
      <c r="C102" s="15">
        <f>HYPERLINK("https://owasp.org/www-project-web-security-testing-guide/latest/4-Web_Application_Security_Testing/09-Testing_for_Weak_Cryptography/02-Testing_for_Padding_Oracle", "Testing for Padding Oracle")</f>
        <v/>
      </c>
      <c r="D102" s="16" t="inlineStr">
        <is>
          <t>- Identify encrypted messages that rely on padding.
- Attempt to break the padding of the encrypted messages and analyze the returned error messages for further analysis.</t>
        </is>
      </c>
      <c r="E102" s="18" t="inlineStr">
        <is>
          <t>Not Started</t>
        </is>
      </c>
      <c r="F102" s="18" t="n"/>
    </row>
    <row r="103" ht="49.5" customHeight="1" s="82">
      <c r="A103" s="19" t="n"/>
      <c r="B103" s="34" t="inlineStr">
        <is>
          <t>WSTG-CRYP-03</t>
        </is>
      </c>
      <c r="C103" s="15">
        <f>HYPERLINK("https://owasp.org/www-project-web-security-testing-guide/latest/4-Web_Application_Security_Testing/09-Testing_for_Weak_Cryptography/03-Testing_for_Sensitive_Information_Sent_via_Unencrypted_Channels", "Testing for Sensitive Information Sent via Unencrypted Channels")</f>
        <v/>
      </c>
      <c r="D103" s="16" t="inlineStr">
        <is>
          <t>- Identify sensitive information transmitted through the various channels.
- Assess the privacy and security of the channels used.</t>
        </is>
      </c>
      <c r="E103" s="18" t="inlineStr">
        <is>
          <t>Not Started</t>
        </is>
      </c>
      <c r="F103" s="18" t="n"/>
    </row>
    <row r="104" ht="33" customHeight="1" s="82">
      <c r="A104" s="19" t="n"/>
      <c r="B104" s="34" t="inlineStr">
        <is>
          <t>WSTG-CRYP-04</t>
        </is>
      </c>
      <c r="C104" s="15">
        <f>HYPERLINK("https://owasp.org/www-project-web-security-testing-guide/latest/4-Web_Application_Security_Testing/09-Testing_for_Weak_Cryptography/04-Testing_for_Weak_Cryptographic_Primitives", "Testing for Weak Cryptographic Primitives")</f>
        <v/>
      </c>
      <c r="D104" s="16" t="inlineStr">
        <is>
          <t>- Provide a guideline for the identification weak encryption or hashing uses and implementations.</t>
        </is>
      </c>
      <c r="E104" s="18" t="inlineStr">
        <is>
          <t>Not Started</t>
        </is>
      </c>
      <c r="F104" s="18" t="n"/>
    </row>
    <row r="105" ht="15" customHeight="1" s="82">
      <c r="A105" s="97" t="n"/>
      <c r="B105" s="98" t="n"/>
      <c r="C105" s="99" t="n"/>
      <c r="D105" s="99" t="n"/>
      <c r="E105" s="99" t="n"/>
      <c r="F105" s="99" t="n"/>
    </row>
    <row r="106" ht="47.25" customHeight="1" s="82">
      <c r="A106" s="9" t="n"/>
      <c r="B106" s="100" t="inlineStr">
        <is>
          <t>Business Logic Testing</t>
        </is>
      </c>
      <c r="C106" s="101" t="inlineStr">
        <is>
          <t>Test Name</t>
        </is>
      </c>
      <c r="D106" s="101" t="inlineStr">
        <is>
          <t>Objectives</t>
        </is>
      </c>
      <c r="E106" s="101" t="inlineStr">
        <is>
          <t>Status</t>
        </is>
      </c>
      <c r="F106" s="101" t="inlineStr">
        <is>
          <t>Notes</t>
        </is>
      </c>
    </row>
    <row r="107" ht="82.5" customHeight="1" s="82">
      <c r="A107" s="19" t="n"/>
      <c r="B107" s="34" t="inlineStr">
        <is>
          <t>WSTG-BUSL-01</t>
        </is>
      </c>
      <c r="C107" s="15">
        <f>HYPERLINK("https://owasp.org/www-project-web-security-testing-guide/latest/4-Web_Application_Security_Testing/10-Business_Logic_Testing/01-Test_Business_Logic_Data_Validation", "Test Business Logic Data Validation")</f>
        <v/>
      </c>
      <c r="D107" s="16" t="inlineStr">
        <is>
          <t>- Identify data injection points.
- Validate that all checks are occurring on the backend and can't be bypassed.
- Attempt to break the format of the expected data and analyze how the application is handling it.</t>
        </is>
      </c>
      <c r="E107" s="18" t="inlineStr">
        <is>
          <t>Not Started</t>
        </is>
      </c>
      <c r="F107" s="18" t="n"/>
    </row>
    <row r="108" ht="66" customHeight="1" s="82">
      <c r="A108" s="19" t="n"/>
      <c r="B108" s="34" t="inlineStr">
        <is>
          <t>WSTG-BUSL-02</t>
        </is>
      </c>
      <c r="C108" s="15">
        <f>HYPERLINK("https://owasp.org/www-project-web-security-testing-guide/latest/4-Web_Application_Security_Testing/10-Business_Logic_Testing/02-Test_Ability_to_Forge_Requests", "Test Ability to Forge Requests")</f>
        <v/>
      </c>
      <c r="D108" s="16" t="inlineStr">
        <is>
          <t>- Review the project documentation looking for guessable, predictable, or hidden functionality of fields.
- Insert logically valid data in order to bypass normal business logic workflow.</t>
        </is>
      </c>
      <c r="E108" s="18" t="inlineStr">
        <is>
          <t>Not Started</t>
        </is>
      </c>
      <c r="F108" s="18" t="n"/>
    </row>
    <row r="109" ht="148.5" customHeight="1" s="82">
      <c r="A109" s="19" t="n"/>
      <c r="B109" s="34" t="inlineStr">
        <is>
          <t>WSTG-BUSL-03</t>
        </is>
      </c>
      <c r="C109" s="15">
        <f>HYPERLINK("https://owasp.org/www-project-web-security-testing-guide/latest/4-Web_Application_Security_Testing/10-Business_Logic_Testing/03-Test_Integrity_Checks", "Test Integrity Checks")</f>
        <v/>
      </c>
      <c r="D109"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09" s="18" t="inlineStr">
        <is>
          <t>Not Started</t>
        </is>
      </c>
      <c r="F109" s="18" t="n"/>
    </row>
    <row r="110" ht="49.5" customHeight="1" s="82">
      <c r="A110" s="19" t="n"/>
      <c r="B110" s="34" t="inlineStr">
        <is>
          <t>WSTG-BUSL-04</t>
        </is>
      </c>
      <c r="C110" s="15">
        <f>HYPERLINK("https://owasp.org/www-project-web-security-testing-guide/latest/4-Web_Application_Security_Testing/10-Business_Logic_Testing/04-Test_for_Process_Timing", "Test for Process Timing")</f>
        <v/>
      </c>
      <c r="D110" s="16" t="inlineStr">
        <is>
          <t>- Review the project documentation for system functionality that may be impacted by time.
- Develop and execute misuse cases.</t>
        </is>
      </c>
      <c r="E110" s="18" t="inlineStr">
        <is>
          <t>Not Started</t>
        </is>
      </c>
      <c r="F110" s="18" t="n"/>
    </row>
    <row r="111" ht="66" customHeight="1" s="82">
      <c r="A111" s="19" t="n"/>
      <c r="B111" s="34" t="inlineStr">
        <is>
          <t>WSTG-BUSL-05</t>
        </is>
      </c>
      <c r="C111" s="15">
        <f>HYPERLINK("https://owasp.org/www-project-web-security-testing-guide/latest/4-Web_Application_Security_Testing/10-Business_Logic_Testing/05-Test_Number_of_Times_a_Function_Can_Be_Used_Limits", "Test Number of Times a Function Can Be Used Limits")</f>
        <v/>
      </c>
      <c r="D111" s="16" t="inlineStr">
        <is>
          <t>- Identify functions that must set limits to the times they can be called.
- Assess if there is a logical limit set on the functions and if it is properly validated.</t>
        </is>
      </c>
      <c r="E111" s="18" t="inlineStr">
        <is>
          <t>Not Started</t>
        </is>
      </c>
      <c r="F111" s="18" t="n"/>
    </row>
    <row r="112" ht="82.5" customHeight="1" s="82">
      <c r="A112" s="19" t="n"/>
      <c r="B112" s="34" t="inlineStr">
        <is>
          <t>WSTG-BUSL-06</t>
        </is>
      </c>
      <c r="C112" s="15">
        <f>HYPERLINK("https://owasp.org/www-project-web-security-testing-guide/latest/4-Web_Application_Security_Testing/10-Business_Logic_Testing/06-Testing_for_the_Circumvention_of_Work_Flows", "Testing for the Circumvention of Work Flows")</f>
        <v/>
      </c>
      <c r="D112" s="16" t="inlineStr">
        <is>
          <t>- Review the project documentation for methods to skip or go through steps in the application process in a different order from the intended business logic flow.
- Develop a misuse case and try to circumvent every logic flow identified.</t>
        </is>
      </c>
      <c r="E112" s="18" t="inlineStr">
        <is>
          <t>Not Started</t>
        </is>
      </c>
      <c r="F112" s="18" t="n"/>
    </row>
    <row r="113" ht="99" customHeight="1" s="82">
      <c r="A113" s="19" t="n"/>
      <c r="B113" s="34" t="inlineStr">
        <is>
          <t>WSTG-BUSL-07</t>
        </is>
      </c>
      <c r="C113" s="15">
        <f>HYPERLINK("https://owasp.org/www-project-web-security-testing-guide/latest/4-Web_Application_Security_Testing/10-Business_Logic_Testing/07-Test_Defenses_Against_Application_Misuse", "Test Defenses Against Application Misuse")</f>
        <v/>
      </c>
      <c r="D113"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3" s="18" t="inlineStr">
        <is>
          <t>Not Started</t>
        </is>
      </c>
      <c r="F113" s="18" t="n"/>
    </row>
    <row r="114" ht="99" customHeight="1" s="82">
      <c r="A114" s="19" t="n"/>
      <c r="B114" s="34" t="inlineStr">
        <is>
          <t>WSTG-BUSL-08</t>
        </is>
      </c>
      <c r="C114" s="15">
        <f>HYPERLINK("https://owasp.org/www-project-web-security-testing-guide/latest/4-Web_Application_Security_Testing/10-Business_Logic_Testing/08-Test_Upload_of_Unexpected_File_Types", "Test Upload of Unexpected File Types")</f>
        <v/>
      </c>
      <c r="D114"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4" s="18" t="inlineStr">
        <is>
          <t>Not Started</t>
        </is>
      </c>
      <c r="F114" s="18" t="n"/>
    </row>
    <row r="115" ht="165" customHeight="1" s="82">
      <c r="A115" s="19" t="n"/>
      <c r="B115" s="34" t="inlineStr">
        <is>
          <t>WSTG-BUSL-09</t>
        </is>
      </c>
      <c r="C115" s="15">
        <f>HYPERLINK("https://owasp.org/www-project-web-security-testing-guide/latest/4-Web_Application_Security_Testing/10-Business_Logic_Testing/09-Test_Upload_of_Malicious_Files", "Test Upload of Malicious Files")</f>
        <v/>
      </c>
      <c r="D115"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5" s="18" t="inlineStr">
        <is>
          <t>Not Started</t>
        </is>
      </c>
      <c r="F115" s="18" t="n"/>
    </row>
    <row r="116" ht="66" customHeight="1" s="82">
      <c r="A116" s="19" t="n"/>
      <c r="B116" s="34" t="inlineStr">
        <is>
          <t>WSTG-BUSL-10</t>
        </is>
      </c>
      <c r="C116" s="15">
        <f>HYPERLINK("https://owasp.org/www-project-web-security-testing-guide/latest/4-Web_Application_Security_Testing/10-Business_Logic_Testing/10-Test-Payment-Functionality", "Test Payment Functionality")</f>
        <v/>
      </c>
      <c r="D116" s="16" t="inlineStr">
        <is>
          <t>- Determine whether the business logic for the e-commerce functionality is robust.
- Understand how the payment functionality works.
- Determine whether the payment functionality is secure.</t>
        </is>
      </c>
      <c r="E116" s="18" t="inlineStr">
        <is>
          <t>Not Started</t>
        </is>
      </c>
      <c r="F116" s="18" t="n"/>
    </row>
    <row r="117" ht="15" customHeight="1" s="82">
      <c r="A117" s="97" t="n"/>
      <c r="B117" s="98" t="n"/>
      <c r="C117" s="99" t="n"/>
      <c r="D117" s="99" t="n"/>
      <c r="E117" s="99" t="n"/>
      <c r="F117" s="99" t="n"/>
    </row>
    <row r="118" ht="47.25" customHeight="1" s="82">
      <c r="A118" s="9" t="n"/>
      <c r="B118" s="100" t="inlineStr">
        <is>
          <t>Client-side Testing</t>
        </is>
      </c>
      <c r="C118" s="101" t="inlineStr">
        <is>
          <t>Test Name</t>
        </is>
      </c>
      <c r="D118" s="101" t="inlineStr">
        <is>
          <t>Objectives</t>
        </is>
      </c>
      <c r="E118" s="101" t="inlineStr">
        <is>
          <t>Status</t>
        </is>
      </c>
      <c r="F118" s="101" t="inlineStr">
        <is>
          <t>Notes</t>
        </is>
      </c>
    </row>
    <row r="119" ht="33" customHeight="1" s="82">
      <c r="A119" s="19" t="n"/>
      <c r="B119" s="34" t="inlineStr">
        <is>
          <t>WSTG-CLNT-01</t>
        </is>
      </c>
      <c r="C119" s="15">
        <f>HYPERLINK("https://owasp.org/www-project-web-security-testing-guide/latest/4-Web_Application_Security_Testing/11-Client-side_Testing/01-Testing_for_DOM-based_Cross_Site_Scripting", "Testing for DOM-Based Cross Site Scripting")</f>
        <v/>
      </c>
      <c r="D119" s="16" t="inlineStr">
        <is>
          <t>- Identify DOM sinks.
- Build payloads that pertain to every sink type.</t>
        </is>
      </c>
      <c r="E119" s="18" t="inlineStr">
        <is>
          <t>Not Started</t>
        </is>
      </c>
      <c r="F119" s="18" t="n"/>
    </row>
    <row r="120" ht="16.5" customHeight="1" s="82">
      <c r="A120" s="19" t="n"/>
      <c r="B120" s="34" t="inlineStr">
        <is>
          <t>WSTG-CLNT-02</t>
        </is>
      </c>
      <c r="C120" s="15">
        <f>HYPERLINK("https://owasp.org/www-project-web-security-testing-guide/latest/4-Web_Application_Security_Testing/11-Client-side_Testing/02-Testing_for_JavaScript_Execution", "Testing for JavaScript Execution")</f>
        <v/>
      </c>
      <c r="D120" s="16" t="inlineStr">
        <is>
          <t>- Identify sinks and possible JavaScript injection points.</t>
        </is>
      </c>
      <c r="E120" s="18" t="inlineStr">
        <is>
          <t>Not Started</t>
        </is>
      </c>
      <c r="F120" s="18" t="n"/>
    </row>
    <row r="121" ht="33" customHeight="1" s="82">
      <c r="A121" s="19" t="n"/>
      <c r="B121" s="34" t="inlineStr">
        <is>
          <t>WSTG-CLNT-03</t>
        </is>
      </c>
      <c r="C121" s="15">
        <f>HYPERLINK("https://owasp.org/www-project-web-security-testing-guide/latest/4-Web_Application_Security_Testing/11-Client-side_Testing/03-Testing_for_HTML_Injection", "Testing for HTML Injection")</f>
        <v/>
      </c>
      <c r="D121" s="16" t="inlineStr">
        <is>
          <t>- Identify HTML injection points and assess the severity of the injected content.</t>
        </is>
      </c>
      <c r="E121" s="18" t="inlineStr">
        <is>
          <t>Not Started</t>
        </is>
      </c>
      <c r="F121" s="18" t="n"/>
    </row>
    <row r="122" ht="33" customHeight="1" s="82">
      <c r="A122" s="19" t="n"/>
      <c r="B122" s="34" t="inlineStr">
        <is>
          <t>WSTG-CLNT-04</t>
        </is>
      </c>
      <c r="C122" s="15">
        <f>HYPERLINK("https://owasp.org/www-project-web-security-testing-guide/latest/4-Web_Application_Security_Testing/11-Client-side_Testing/04-Testing_for_Client-side_URL_Redirect", "Testing for Client-side URL Redirect")</f>
        <v/>
      </c>
      <c r="D122" s="16" t="inlineStr">
        <is>
          <t>- Identify injection points that handle URLs or paths.
- Assess the locations that the system could redirect to.</t>
        </is>
      </c>
      <c r="E122" s="18" t="inlineStr">
        <is>
          <t>Not Started</t>
        </is>
      </c>
      <c r="F122" s="18" t="n"/>
    </row>
    <row r="123" ht="33" customHeight="1" s="82">
      <c r="A123" s="19" t="n"/>
      <c r="B123" s="34" t="inlineStr">
        <is>
          <t>WSTG-CLNT-05</t>
        </is>
      </c>
      <c r="C123" s="15">
        <f>HYPERLINK("https://owasp.org/www-project-web-security-testing-guide/latest/4-Web_Application_Security_Testing/11-Client-side_Testing/05-Testing_for_CSS_Injection", "Testing for CSS Injection")</f>
        <v/>
      </c>
      <c r="D123" s="16" t="inlineStr">
        <is>
          <t>- Identify CSS injection points.
- Assess the impact of the injection.</t>
        </is>
      </c>
      <c r="E123" s="18" t="inlineStr">
        <is>
          <t>Not Started</t>
        </is>
      </c>
      <c r="F123" s="18" t="n"/>
    </row>
    <row r="124" ht="33" customHeight="1" s="82">
      <c r="A124" s="19" t="n"/>
      <c r="B124" s="34" t="inlineStr">
        <is>
          <t>WSTG-CLNT-06</t>
        </is>
      </c>
      <c r="C124" s="15">
        <f>HYPERLINK("https://owasp.org/www-project-web-security-testing-guide/latest/4-Web_Application_Security_Testing/11-Client-side_Testing/06-Testing_for_Client-side_Resource_Manipulation", "Testing for Client-side Resource Manipulation")</f>
        <v/>
      </c>
      <c r="D124" s="16" t="inlineStr">
        <is>
          <t>- Identify sinks with weak input validation.
- Assess the impact of the resource manipulation.</t>
        </is>
      </c>
      <c r="E124" s="18" t="inlineStr">
        <is>
          <t>Not Started</t>
        </is>
      </c>
      <c r="F124" s="18" t="n"/>
    </row>
    <row r="125" ht="33" customHeight="1" s="82">
      <c r="A125" s="19" t="n"/>
      <c r="B125" s="34" t="inlineStr">
        <is>
          <t>WSTG-CLNT-07</t>
        </is>
      </c>
      <c r="C125" s="15">
        <f>HYPERLINK("https://owasp.org/www-project-web-security-testing-guide/latest/4-Web_Application_Security_Testing/11-Client-side_Testing/07-Testing_Cross_Origin_Resource_Sharing", "Testing Cross Origin Resource Sharing")</f>
        <v/>
      </c>
      <c r="D125" s="16" t="inlineStr">
        <is>
          <t>- Identify endpoints that implement CORS.
- Ensure that the CORS configuration is secure or harmless.</t>
        </is>
      </c>
      <c r="E125" s="18" t="inlineStr">
        <is>
          <t>Not Started</t>
        </is>
      </c>
      <c r="F125" s="18" t="n"/>
    </row>
    <row r="126" ht="33" customHeight="1" s="82">
      <c r="A126" s="19" t="n"/>
      <c r="B126" s="34" t="inlineStr">
        <is>
          <t>WSTG-CLNT-08</t>
        </is>
      </c>
      <c r="C126" s="15">
        <f>HYPERLINK("https://owasp.org/www-project-web-security-testing-guide/latest/4-Web_Application_Security_Testing/11-Client-side_Testing/08-Testing_for_Cross_Site_Flashing", "Testing for Cross Site Flashing")</f>
        <v/>
      </c>
      <c r="D126" s="16" t="inlineStr">
        <is>
          <t>- Decompile and analyze the application's code.
- Assess sinks inputs and unsafe method usages.</t>
        </is>
      </c>
      <c r="E126" s="18" t="inlineStr">
        <is>
          <t>Not Started</t>
        </is>
      </c>
      <c r="F126" s="18" t="n"/>
    </row>
    <row r="127" ht="16.5" customHeight="1" s="82">
      <c r="A127" s="19" t="n"/>
      <c r="B127" s="34" t="inlineStr">
        <is>
          <t>WSTG-CLNT-09</t>
        </is>
      </c>
      <c r="C127" s="15">
        <f>HYPERLINK("https://owasp.org/www-project-web-security-testing-guide/latest/4-Web_Application_Security_Testing/11-Client-side_Testing/09-Testing_for_Clickjacking", "Testing for Clickjacking")</f>
        <v/>
      </c>
      <c r="D127" s="16" t="inlineStr">
        <is>
          <t>- Assess application vulnerability to clickjacking attacks.</t>
        </is>
      </c>
      <c r="E127" s="18" t="inlineStr">
        <is>
          <t>Not Started</t>
        </is>
      </c>
      <c r="F127" s="18" t="n"/>
    </row>
    <row r="128" ht="49.5" customHeight="1" s="82">
      <c r="A128" s="19" t="n"/>
      <c r="B128" s="34" t="inlineStr">
        <is>
          <t>WSTG-CLNT-10</t>
        </is>
      </c>
      <c r="C128" s="15">
        <f>HYPERLINK("https://owasp.org/www-project-web-security-testing-guide/latest/4-Web_Application_Security_Testing/11-Client-side_Testing/10-Testing_WebSockets", "Testing WebSockets")</f>
        <v/>
      </c>
      <c r="D128" s="16" t="inlineStr">
        <is>
          <t>- Identify the usage of WebSockets.
- Assess its implementation by using the same tests on normal HTTP channels.</t>
        </is>
      </c>
      <c r="E128" s="18" t="inlineStr">
        <is>
          <t>Not Started</t>
        </is>
      </c>
      <c r="F128" s="18" t="n"/>
    </row>
    <row r="129" ht="49.5" customHeight="1" s="82">
      <c r="A129" s="19" t="n"/>
      <c r="B129" s="34" t="inlineStr">
        <is>
          <t>WSTG-CLNT-11</t>
        </is>
      </c>
      <c r="C129" s="15">
        <f>HYPERLINK("https://owasp.org/www-project-web-security-testing-guide/latest/4-Web_Application_Security_Testing/11-Client-side_Testing/11-Testing_Web_Messaging", "Testing Web Messaging")</f>
        <v/>
      </c>
      <c r="D129" s="16" t="inlineStr">
        <is>
          <t>- Assess the security of the message's origin.
- Validate that it's using safe methods and validating its input.</t>
        </is>
      </c>
      <c r="E129" s="18" t="inlineStr">
        <is>
          <t>Not Started</t>
        </is>
      </c>
      <c r="F129" s="18" t="n"/>
    </row>
    <row r="130" ht="82.5" customHeight="1" s="82">
      <c r="A130" s="19" t="n"/>
      <c r="B130" s="34" t="inlineStr">
        <is>
          <t>WSTG-CLNT-12</t>
        </is>
      </c>
      <c r="C130" s="15">
        <f>HYPERLINK("https://owasp.org/www-project-web-security-testing-guide/latest/4-Web_Application_Security_Testing/11-Client-side_Testing/12-Testing_Browser_Storage", "Testing Browser Storage")</f>
        <v/>
      </c>
      <c r="D130" s="16" t="inlineStr">
        <is>
          <t>- Determine whether the site is storing sensitive data in client-side storage.
- The code handling of the storage objects should be examined for possibilities of injection attacks, such as utilizing unvalidated input or vulnerable libraries.</t>
        </is>
      </c>
      <c r="E130" s="18" t="inlineStr">
        <is>
          <t>Not Started</t>
        </is>
      </c>
      <c r="F130" s="18" t="n"/>
    </row>
    <row r="131" ht="49.5" customHeight="1" s="82">
      <c r="A131" s="19" t="n"/>
      <c r="B131" s="34" t="inlineStr">
        <is>
          <t>WSTG-CLNT-13</t>
        </is>
      </c>
      <c r="C131" s="15">
        <f>HYPERLINK("https://owasp.org/www-project-web-security-testing-guide/latest/4-Web_Application_Security_Testing/11-Client-side_Testing/13-Testing_for_Cross_Site_Script_Inclusion", "Testing for Cross Site Script Inclusion")</f>
        <v/>
      </c>
      <c r="D131" s="16" t="inlineStr">
        <is>
          <t>- Locate sensitive data across the system.
- Assess the leakage of sensitive data through various techniques.</t>
        </is>
      </c>
      <c r="E131" s="18" t="inlineStr">
        <is>
          <t>Not Started</t>
        </is>
      </c>
      <c r="F131" s="18" t="n"/>
    </row>
    <row r="132" ht="16.5" customHeight="1" s="82">
      <c r="A132" s="19" t="n"/>
      <c r="B132" s="34" t="inlineStr">
        <is>
          <t>WSTG-CLNT-14</t>
        </is>
      </c>
      <c r="C132" s="15">
        <f>HYPERLINK("https://owasp.org/www-project-web-security-testing-guide/latest/4-Web_Application_Security_Testing/11-Client-side_Testing/14-Testing_for_Reverse_Tabnabbing", "Testing for Reverse Tabnabbing")</f>
        <v/>
      </c>
      <c r="D132" s="16" t="inlineStr">
        <is>
          <t>N/A</t>
        </is>
      </c>
      <c r="E132" s="18" t="inlineStr">
        <is>
          <t>Not Started</t>
        </is>
      </c>
      <c r="F132" s="18" t="n"/>
    </row>
    <row r="133" ht="99" customHeight="1" s="82">
      <c r="A133" s="19" t="n"/>
      <c r="B133" s="34" t="inlineStr">
        <is>
          <t>WSTG-CLNT-15</t>
        </is>
      </c>
      <c r="C133" s="15">
        <f>HYPERLINK("https://owasp.org/www-project-web-security-testing-guide/latest/4-Web_Application_Security_Testing/11-Client-side_Testing/15-Testing_for_Client-Side_Template_Injection", "Testing for Client-side Template Injection")</f>
        <v/>
      </c>
      <c r="D133"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3" s="18" t="inlineStr">
        <is>
          <t>Not Started</t>
        </is>
      </c>
      <c r="F133" s="18" t="n"/>
    </row>
    <row r="134" ht="15" customHeight="1" s="82">
      <c r="A134" s="97" t="n"/>
      <c r="B134" s="98" t="n"/>
      <c r="C134" s="99" t="n"/>
      <c r="D134" s="99" t="n"/>
      <c r="E134" s="99" t="n"/>
      <c r="F134" s="99" t="n"/>
    </row>
    <row r="135" ht="47.25" customHeight="1" s="82">
      <c r="A135" s="9" t="n"/>
      <c r="B135" s="100" t="inlineStr">
        <is>
          <t>API Testing</t>
        </is>
      </c>
      <c r="C135" s="101" t="inlineStr">
        <is>
          <t>Test Name</t>
        </is>
      </c>
      <c r="D135" s="101" t="inlineStr">
        <is>
          <t>Objectives</t>
        </is>
      </c>
      <c r="E135" s="101" t="inlineStr">
        <is>
          <t>Status</t>
        </is>
      </c>
      <c r="F135" s="101" t="inlineStr">
        <is>
          <t>Notes</t>
        </is>
      </c>
    </row>
    <row r="136" ht="99" customHeight="1" s="82">
      <c r="A136" s="19" t="n"/>
      <c r="B136" s="34" t="inlineStr">
        <is>
          <t>WSTG-APIT-01</t>
        </is>
      </c>
      <c r="C136" s="15">
        <f>HYPERLINK("https://owasp.org/www-project-web-security-testing-guide/latest/4-Web_Application_Security_Testing/12-API_Testing/01-API_Reconnaissance", "API Reconnaissance")</f>
        <v/>
      </c>
      <c r="D136"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6" s="18" t="inlineStr">
        <is>
          <t>Not Started</t>
        </is>
      </c>
      <c r="F136" s="18" t="n"/>
    </row>
    <row r="137" ht="66" customHeight="1" s="82">
      <c r="A137" s="19" t="n"/>
      <c r="B137" s="34" t="inlineStr">
        <is>
          <t>WSTG-APIT-02</t>
        </is>
      </c>
      <c r="C137" s="15">
        <f>HYPERLINK("https://owasp.org/www-project-web-security-testing-guide/latest/4-Web_Application_Security_Testing/12-API_Testing/02-API_Broken_Object_Level_Authorization", "API Broken Object Level Authorization")</f>
        <v/>
      </c>
      <c r="D137" s="16" t="inlineStr">
        <is>
          <t>- The objective of this test is to identify whether the API enforces proper **object-level authorization** checks, ensuring that users can only access and manipulate objects they are authorized to interact with.</t>
        </is>
      </c>
      <c r="E137" s="18" t="inlineStr">
        <is>
          <t>Not Started</t>
        </is>
      </c>
      <c r="F137" s="18" t="n"/>
    </row>
    <row r="138" ht="132" customHeight="1" s="82">
      <c r="A138" s="19" t="n"/>
      <c r="B138" s="34" t="inlineStr">
        <is>
          <t>WSTG-APIT-03</t>
        </is>
      </c>
      <c r="C138" s="15">
        <f>HYPERLINK("https://owasp.org/www-project-web-security-testing-guide/latest/4-Web_Application_Security_Testing/12-API_Testing/03-Testing_for_Excessive_Data_Exposure", "Testing for Excessive Data Exposure")</f>
        <v/>
      </c>
      <c r="D138" s="16" t="inlineStr">
        <is>
          <t>- Identify API responses that contain more data than what the client application displays or requires.
- Detect sensitive fields returned in API responses such as password hashes, authentication tokens, internal object IDs, PII, or infrastructure details.
- Determine whether the API relies on client-side filtering rather than server-side field selection to control data exposure.</t>
        </is>
      </c>
      <c r="E138" s="18" t="inlineStr">
        <is>
          <t>Not Started</t>
        </is>
      </c>
      <c r="F138" s="18" t="n"/>
    </row>
    <row r="139" ht="82.5" customHeight="1" s="82">
      <c r="A139" s="19" t="n"/>
      <c r="B139" s="34" t="inlineStr">
        <is>
          <t>WSTG-APIT-04</t>
        </is>
      </c>
      <c r="C139" s="15">
        <f>HYPERLINK("https://owasp.org/www-project-web-security-testing-guide/latest/4-Web_Application_Security_Testing/12-API_Testing/04-API_Broken_Function_Level_Authorization", "API Broken Function Level Authorization")</f>
        <v/>
      </c>
      <c r="D139" s="16" t="inlineStr">
        <is>
          <t>- The goal of this test is to determine if the API enforces **role or privilege-based access control** to restrict users from accessing or executing functions they are not authorized to use. This ensures that function-level security boundaries are properly enforced.</t>
        </is>
      </c>
      <c r="E139" s="18" t="inlineStr">
        <is>
          <t>Not Started</t>
        </is>
      </c>
      <c r="F139" s="18" t="n"/>
    </row>
    <row r="140" ht="66" customHeight="1" s="82">
      <c r="A140" s="19" t="n"/>
      <c r="B140" s="34" t="inlineStr">
        <is>
          <t>WSTG-APIT-99</t>
        </is>
      </c>
      <c r="C140" s="15">
        <f>HYPERLINK("https://owasp.org/www-project-web-security-testing-guide/latest/4-Web_Application_Security_Testing/12-API_Testing/99-Testing_GraphQL", "Testing GraphQL")</f>
        <v/>
      </c>
      <c r="D140" s="16" t="inlineStr">
        <is>
          <t>- Assess that a secure and production-ready configuration is deployed.
- Validate all input fields against generic attacks.
- Ensure that proper access controls are applied.</t>
        </is>
      </c>
      <c r="E140" s="18" t="inlineStr">
        <is>
          <t>Not Started</t>
        </is>
      </c>
      <c r="F140" s="18" t="n"/>
    </row>
    <row r="141" ht="15" customHeight="1" s="82">
      <c r="A141" s="97" t="n"/>
      <c r="B141" s="98" t="n"/>
      <c r="C141" s="99" t="n"/>
      <c r="D141" s="99" t="n"/>
      <c r="E141" s="99" t="n"/>
      <c r="F141"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1">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3 E34 E35 E36 E37 E40 E41 E42 E43 E44 E45 E46 E47 E48 E49 E50 E53 E54 E55 E56 E57 E60 E61 E62 E63 E64 E65 E66 E67 E68 E69 E70 E73 E74 E75 E76 E77 E78 E79 E80 E81 E82 E83 E84 E85 E86 E87 E88 E89 E90 E91 E92 E93 E94 E97 E98 E101 E102 E103 E104 E107 E108 E109 E110 E111 E112 E113 E114 E115 E116 E119 E120 E121 E122 E123 E124 E125 E126 E127 E128 E129 E130 E131 E132 E133 E136 E137 E138 E139 E140"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2026-06-30T13:08:28Z</dcterms:created>
  <dcterms:modified xsi:type="dcterms:W3CDTF">2026-06-30T13:08:28Z</dcterms:modified>
  <cp:lastModifiedBy>Rejah Rehim</cp:lastModifiedBy>
</cp:coreProperties>
</file>