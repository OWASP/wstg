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0"/>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"Testing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Input Validation Testing</t>
        </is>
      </c>
      <c r="C72" s="101" t="inlineStr">
        <is>
          <t>Test Name</t>
        </is>
      </c>
      <c r="D72" s="101" t="inlineStr">
        <is>
          <t>Objectives</t>
        </is>
      </c>
      <c r="E72" s="101" t="inlineStr">
        <is>
          <t>Status</t>
        </is>
      </c>
      <c r="F72" s="101" t="inlineStr">
        <is>
          <t>Notes</t>
        </is>
      </c>
    </row>
    <row r="73" ht="49.5" customHeight="1" s="82">
      <c r="A73" s="19" t="n"/>
      <c r="B73" s="34" t="inlineStr">
        <is>
          <t>WSTG-INPV-01</t>
        </is>
      </c>
      <c r="C73" s="15">
        <f>HYPERLINK("https://owasp.org/www-project-web-security-testing-guide/latest/4-Web_Application_Security_Testing/07-Input_Validation_Testing/01-Testing_for_Reflected_Cross_Site_Scripting",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WSTG-INPV-02</t>
        </is>
      </c>
      <c r="C74" s="15">
        <f>HYPERLINK("https://owasp.org/www-project-web-security-testing-guide/latest/4-Web_Application_Security_Testing/07-Input_Validation_Testing/02-Testing_for_Stored_Cross_Site_Scripting",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WSTG-INPV-03</t>
        </is>
      </c>
      <c r="C75" s="15">
        <f>HYPERLINK("https://owasp.org/www-project-web-security-testing-guide/latest/4-Web_Application_Security_Testing/07-Input_Validation_Testing/03-Testing_for_HTTP_Verb_Tampering", "Testing for HTTP Verb Tampering")</f>
        <v/>
      </c>
      <c r="D75" s="16" t="inlineStr">
        <is>
          <t>N/A</t>
        </is>
      </c>
      <c r="E75" s="18" t="inlineStr">
        <is>
          <t>Not Started</t>
        </is>
      </c>
      <c r="F75" s="18" t="n"/>
    </row>
    <row r="76" ht="49.5" customHeight="1" s="82">
      <c r="A76" s="19" t="n"/>
      <c r="B76" s="34" t="inlineStr">
        <is>
          <t>WSTG-INPV-04</t>
        </is>
      </c>
      <c r="C76" s="15">
        <f>HYPERLINK("https://owasp.org/www-project-web-security-testing-guide/latest/4-Web_Application_Security_Testing/07-Input_Validation_Testing/04-Testing_for_HTTP_Parameter_Pollution", "Testing for HTTP Parameter Pollution")</f>
        <v/>
      </c>
      <c r="D76" s="16" t="inlineStr">
        <is>
          <t>- Identify the back end and the parsing method used.
- Assess injection points and try bypassing input filters using HPP.</t>
        </is>
      </c>
      <c r="E76" s="18" t="inlineStr">
        <is>
          <t>Not Started</t>
        </is>
      </c>
      <c r="F76" s="18" t="n"/>
    </row>
    <row r="77" ht="49.5" customHeight="1" s="82">
      <c r="A77" s="19" t="n"/>
      <c r="B77" s="34" t="inlineStr">
        <is>
          <t>WSTG-INPV-05</t>
        </is>
      </c>
      <c r="C77" s="15">
        <f>HYPERLINK("https://owasp.org/www-project-web-security-testing-guide/latest/4-Web_Application_Security_Testing/07-Input_Validation_Testing/05-Testing_for_SQL_Injection",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WSTG-INPV-06</t>
        </is>
      </c>
      <c r="C78" s="15">
        <f>HYPERLINK("https://owasp.org/www-project-web-security-testing-guide/latest/4-Web_Application_Security_Testing/07-Input_Validation_Testing/06-Testing_for_LDAP_Injection",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WSTG-INPV-07</t>
        </is>
      </c>
      <c r="C79" s="15">
        <f>HYPERLINK("https://owasp.org/www-project-web-security-testing-guide/latest/4-Web_Application_Security_Testing/07-Input_Validation_Testing/07-Testing_for_XML_Injection",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WSTG-INPV-08</t>
        </is>
      </c>
      <c r="C80" s="15">
        <f>HYPERLINK("https://owasp.org/www-project-web-security-testing-guide/latest/4-Web_Application_Security_Testing/07-Input_Validation_Testing/08-Testing_for_SSI_Injection",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WSTG-INPV-09</t>
        </is>
      </c>
      <c r="C81" s="15">
        <f>HYPERLINK("https://owasp.org/www-project-web-security-testing-guide/latest/4-Web_Application_Security_Testing/07-Input_Validation_Testing/09-Testing_for_XPath_Injection", "Testing for XPath Injection")</f>
        <v/>
      </c>
      <c r="D81" s="16" t="inlineStr">
        <is>
          <t>- Identify XPATH injection points.</t>
        </is>
      </c>
      <c r="E81" s="18" t="inlineStr">
        <is>
          <t>Not Started</t>
        </is>
      </c>
      <c r="F81" s="18" t="n"/>
    </row>
    <row r="82" ht="66" customHeight="1" s="82">
      <c r="A82" s="19" t="n"/>
      <c r="B82" s="34" t="inlineStr">
        <is>
          <t>WSTG-INPV-10</t>
        </is>
      </c>
      <c r="C82" s="15">
        <f>HYPERLINK("https://owasp.org/www-project-web-security-testing-guide/latest/4-Web_Application_Security_Testing/07-Input_Validation_Testing/10-Testing_for_IMAP_SMTP_Injection",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WSTG-INPV-11</t>
        </is>
      </c>
      <c r="C83" s="15">
        <f>HYPERLINK("https://owasp.org/www-project-web-security-testing-guide/latest/4-Web_Application_Security_Testing/07-Input_Validation_Testing/11-Testing_for_Code_Injection",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WSTG-INPV-12</t>
        </is>
      </c>
      <c r="C84" s="15">
        <f>HYPERLINK("https://owasp.org/www-project-web-security-testing-guide/latest/4-Web_Application_Security_Testing/07-Input_Validation_Testing/12-Testing_for_Command_Injection",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WSTG-INPV-13</t>
        </is>
      </c>
      <c r="C85" s="15">
        <f>HYPERLINK("https://owasp.org/www-project-web-security-testing-guide/latest/4-Web_Application_Security_Testing/07-Input_Validation_Testing/13-Testing_for_Format_String_Injection",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WSTG-INPV-14</t>
        </is>
      </c>
      <c r="C86" s="15">
        <f>HYPERLINK("https://owasp.org/www-project-web-security-testing-guide/latest/4-Web_Application_Security_Testing/07-Input_Validation_Testing/14-Testing_for_Incubated_Vulnerability",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WSTG-INPV-15</t>
        </is>
      </c>
      <c r="C87" s="15">
        <f>HYPERLINK("https://owasp.org/www-project-web-security-testing-guide/latest/4-Web_Application_Security_Testing/07-Input_Validation_Testing/15-Testing_for_HTTP_Response_Splitting",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WSTG-INPV-16</t>
        </is>
      </c>
      <c r="C88" s="15">
        <f>HYPERLINK("https://owasp.org/www-project-web-security-testing-guide/latest/4-Web_Application_Security_Testing/07-Input_Validation_Testing/16-Testing_for_HTTP_Request_Smuggling",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WSTG-INPV-17</t>
        </is>
      </c>
      <c r="C89" s="15">
        <f>HYPERLINK("https://owasp.org/www-project-web-security-testing-guide/latest/4-Web_Application_Security_Testing/07-Input_Validation_Testing/17-Testing_for_Host_Header_Injection",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WSTG-INPV-18</t>
        </is>
      </c>
      <c r="C90" s="15">
        <f>HYPERLINK("https://owasp.org/www-project-web-security-testing-guide/latest/4-Web_Application_Security_Testing/07-Input_Validation_Testing/18-Testing_for_Server-side_Template_Injection",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WSTG-INPV-19</t>
        </is>
      </c>
      <c r="C91" s="15">
        <f>HYPERLINK("https://owasp.org/www-project-web-security-testing-guide/latest/4-Web_Application_Security_Testing/07-Input_Validation_Testing/19-Testing_for_Server-Side_Request_Forgery",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WSTG-INPV-20</t>
        </is>
      </c>
      <c r="C92" s="15">
        <f>HYPERLINK("https://owasp.org/www-project-web-security-testing-guide/latest/4-Web_Application_Security_Testing/07-Input_Validation_Testing/20-Testing_for_Mass_Assignment",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WSTG-INPV-21</t>
        </is>
      </c>
      <c r="C93" s="15">
        <f>HYPERLINK("https://owasp.org/www-project-web-security-testing-guide/latest/4-Web_Application_Security_Testing/07-Input_Validation_Testing/21-Testing_for_CSV_Injection",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99" customHeight="1" s="82">
      <c r="A94" s="19" t="n"/>
      <c r="B94" s="34" t="inlineStr">
        <is>
          <t>WSTG-INPV-22</t>
        </is>
      </c>
      <c r="C94" s="15">
        <f>HYPERLINK("https://owasp.org/www-project-web-security-testing-guide/latest/4-Web_Application_Security_Testing/07-Input_Validation_Testing/22-Testing_for_Prototype_Pollution", "Testing for Prototype Pollution")</f>
        <v/>
      </c>
      <c r="D94" s="16" t="inlineStr">
        <is>
          <t>- Identify functions and libraries that recursively merge, clone, or assign user-controlled properties.
- Determine whether user input can reach and modify `Object.prototype`.
- Identify gadgets that turn prototype pollution into a concrete impact.</t>
        </is>
      </c>
      <c r="E94" s="18" t="inlineStr">
        <is>
          <t>Not Started</t>
        </is>
      </c>
      <c r="F94" s="18" t="n"/>
    </row>
    <row r="95" ht="15" customHeight="1" s="82">
      <c r="A95" s="97" t="n"/>
      <c r="B95" s="98" t="n"/>
      <c r="C95" s="99" t="n"/>
      <c r="D95" s="99" t="n"/>
      <c r="E95" s="99" t="n"/>
      <c r="F95" s="99" t="n"/>
    </row>
    <row r="96" ht="47.25" customHeight="1" s="82">
      <c r="A96" s="9" t="n"/>
      <c r="B96" s="100" t="inlineStr">
        <is>
          <t>Testing for Error Handling</t>
        </is>
      </c>
      <c r="C96" s="101" t="inlineStr">
        <is>
          <t>Test Name</t>
        </is>
      </c>
      <c r="D96" s="101" t="inlineStr">
        <is>
          <t>Objectives</t>
        </is>
      </c>
      <c r="E96" s="101" t="inlineStr">
        <is>
          <t>Status</t>
        </is>
      </c>
      <c r="F96" s="101" t="inlineStr">
        <is>
          <t>Notes</t>
        </is>
      </c>
    </row>
    <row r="97" ht="33" customHeight="1" s="82">
      <c r="A97" s="19" t="n"/>
      <c r="B97" s="34" t="inlineStr">
        <is>
          <t>WSTG-ERRH-01</t>
        </is>
      </c>
      <c r="C97" s="15">
        <f>HYPERLINK("https://owasp.org/www-project-web-security-testing-guide/latest/4-Web_Application_Security_Testing/08-Testing_for_Error_Handling/01-Testing_For_Improper_Error_Handling", "Testing for Improper Error Handling")</f>
        <v/>
      </c>
      <c r="D97" s="16" t="inlineStr">
        <is>
          <t>- Identify existing error output.
- Analyze the different output returned.</t>
        </is>
      </c>
      <c r="E97" s="18" t="inlineStr">
        <is>
          <t>Not Started</t>
        </is>
      </c>
      <c r="F97" s="18" t="n"/>
    </row>
    <row r="98" ht="16.5" customHeight="1" s="82">
      <c r="A98" s="19" t="n"/>
      <c r="B98" s="34" t="inlineStr">
        <is>
          <t>WSTG-ERRH-02</t>
        </is>
      </c>
      <c r="C98" s="15">
        <f>HYPERLINK("https://owasp.org/www-project-web-security-testing-guide/latest/4-Web_Application_Security_Testing/08-Testing_for_Error_Handling/02-Testing_for_Stack_Traces", "Testing for Stack Traces")</f>
        <v/>
      </c>
      <c r="D98" s="16" t="inlineStr">
        <is>
          <t>N/A</t>
        </is>
      </c>
      <c r="E98" s="18" t="inlineStr">
        <is>
          <t>Not Started</t>
        </is>
      </c>
      <c r="F98" s="18" t="n"/>
    </row>
    <row r="99" ht="15" customHeight="1" s="82">
      <c r="A99" s="97" t="n"/>
      <c r="B99" s="98" t="n"/>
      <c r="C99" s="99" t="n"/>
      <c r="D99" s="99" t="n"/>
      <c r="E99" s="99" t="n"/>
      <c r="F99" s="99" t="n"/>
    </row>
    <row r="100" ht="47.25" customHeight="1" s="82">
      <c r="A100" s="9" t="n"/>
      <c r="B100" s="100" t="inlineStr">
        <is>
          <t>Testing for Weak Cryptography</t>
        </is>
      </c>
      <c r="C100" s="101" t="inlineStr">
        <is>
          <t>Test Name</t>
        </is>
      </c>
      <c r="D100" s="101" t="inlineStr">
        <is>
          <t>Objectives</t>
        </is>
      </c>
      <c r="E100" s="101" t="inlineStr">
        <is>
          <t>Status</t>
        </is>
      </c>
      <c r="F100" s="101" t="inlineStr">
        <is>
          <t>Notes</t>
        </is>
      </c>
    </row>
    <row r="101" ht="82.5" customHeight="1" s="82">
      <c r="A101" s="19" t="n"/>
      <c r="B101" s="34" t="inlineStr">
        <is>
          <t>WSTG-CRYP-01</t>
        </is>
      </c>
      <c r="C101" s="15">
        <f>HYPERLINK("https://owasp.org/www-project-web-security-testing-guide/latest/4-Web_Application_Security_Testing/09-Testing_for_Weak_Cryptography/01-Testing_for_Weak_Transport_Layer_Security", "Testing for Weak Transport Layer Security")</f>
        <v/>
      </c>
      <c r="D101" s="16" t="inlineStr">
        <is>
          <t>- Validate the service configuration.
- Review the digital certificate's cryptographic strength and validity.
- Ensure that the TLS security is not bypassable and is properly implemented across the application.</t>
        </is>
      </c>
      <c r="E101" s="18" t="inlineStr">
        <is>
          <t>Not Started</t>
        </is>
      </c>
      <c r="F101" s="18" t="n"/>
    </row>
    <row r="102" ht="49.5" customHeight="1" s="82">
      <c r="A102" s="19" t="n"/>
      <c r="B102" s="34" t="inlineStr">
        <is>
          <t>WSTG-CRYP-02</t>
        </is>
      </c>
      <c r="C102" s="15">
        <f>HYPERLINK("https://owasp.org/www-project-web-security-testing-guide/latest/4-Web_Application_Security_Testing/09-Testing_for_Weak_Cryptography/02-Testing_for_Padding_Oracle", "Testing for Padding Oracle")</f>
        <v/>
      </c>
      <c r="D102" s="16" t="inlineStr">
        <is>
          <t>- Identify encrypted messages that rely on padding.
- Attempt to break the padding of the encrypted messages and analyze the returned error messages for further analysis.</t>
        </is>
      </c>
      <c r="E102" s="18" t="inlineStr">
        <is>
          <t>Not Started</t>
        </is>
      </c>
      <c r="F102" s="18" t="n"/>
    </row>
    <row r="103" ht="49.5" customHeight="1" s="82">
      <c r="A103" s="19" t="n"/>
      <c r="B103" s="34" t="inlineStr">
        <is>
          <t>WSTG-CRYP-03</t>
        </is>
      </c>
      <c r="C103" s="15">
        <f>HYPERLINK("https://owasp.org/www-project-web-security-testing-guide/latest/4-Web_Application_Security_Testing/09-Testing_for_Weak_Cryptography/03-Testing_for_Sensitive_Information_Sent_via_Unencrypted_Channels", "Testing for Sensitive Information Sent via Unencrypted Channels")</f>
        <v/>
      </c>
      <c r="D103" s="16" t="inlineStr">
        <is>
          <t>- Identify sensitive information transmitted through the various channels.
- Assess the privacy and security of the channels used.</t>
        </is>
      </c>
      <c r="E103" s="18" t="inlineStr">
        <is>
          <t>Not Started</t>
        </is>
      </c>
      <c r="F103" s="18" t="n"/>
    </row>
    <row r="104" ht="33" customHeight="1" s="82">
      <c r="A104" s="19" t="n"/>
      <c r="B104" s="34" t="inlineStr">
        <is>
          <t>WSTG-CRYP-04</t>
        </is>
      </c>
      <c r="C104" s="15">
        <f>HYPERLINK("https://owasp.org/www-project-web-security-testing-guide/latest/4-Web_Application_Security_Testing/09-Testing_for_Weak_Cryptography/04-Testing_for_Weak_Cryptographic_Primitives", "Testing for Weak Cryptographic Primitives")</f>
        <v/>
      </c>
      <c r="D104" s="16" t="inlineStr">
        <is>
          <t>- Provide a guideline for the identification weak encryption or hashing uses and implementations.</t>
        </is>
      </c>
      <c r="E104" s="18" t="inlineStr">
        <is>
          <t>Not Started</t>
        </is>
      </c>
      <c r="F104" s="18" t="n"/>
    </row>
    <row r="105" ht="15" customHeight="1" s="82">
      <c r="A105" s="97" t="n"/>
      <c r="B105" s="98" t="n"/>
      <c r="C105" s="99" t="n"/>
      <c r="D105" s="99" t="n"/>
      <c r="E105" s="99" t="n"/>
      <c r="F105" s="99" t="n"/>
    </row>
    <row r="106" ht="47.25" customHeight="1" s="82">
      <c r="A106" s="9" t="n"/>
      <c r="B106" s="100" t="inlineStr">
        <is>
          <t>Business Logic Testing</t>
        </is>
      </c>
      <c r="C106" s="101" t="inlineStr">
        <is>
          <t>Test Name</t>
        </is>
      </c>
      <c r="D106" s="101" t="inlineStr">
        <is>
          <t>Objectives</t>
        </is>
      </c>
      <c r="E106" s="101" t="inlineStr">
        <is>
          <t>Status</t>
        </is>
      </c>
      <c r="F106" s="101" t="inlineStr">
        <is>
          <t>Notes</t>
        </is>
      </c>
    </row>
    <row r="107" ht="82.5" customHeight="1" s="82">
      <c r="A107" s="19" t="n"/>
      <c r="B107" s="34" t="inlineStr">
        <is>
          <t>WSTG-BUSL-01</t>
        </is>
      </c>
      <c r="C107" s="15">
        <f>HYPERLINK("https://owasp.org/www-project-web-security-testing-guide/latest/4-Web_Application_Security_Testing/10-Business_Logic_Testing/01-Test_Business_Logic_Data_Validation", "Test Business Logic Data Validation")</f>
        <v/>
      </c>
      <c r="D107" s="16" t="inlineStr">
        <is>
          <t>- Identify data injection points.
- Validate that all checks are occurring on the backend and can't be bypassed.
- Attempt to break the format of the expected data and analyze how the application is handling it.</t>
        </is>
      </c>
      <c r="E107" s="18" t="inlineStr">
        <is>
          <t>Not Started</t>
        </is>
      </c>
      <c r="F107" s="18" t="n"/>
    </row>
    <row r="108" ht="66" customHeight="1" s="82">
      <c r="A108" s="19" t="n"/>
      <c r="B108" s="34" t="inlineStr">
        <is>
          <t>WSTG-BUSL-02</t>
        </is>
      </c>
      <c r="C108" s="15">
        <f>HYPERLINK("https://owasp.org/www-project-web-security-testing-guide/latest/4-Web_Application_Security_Testing/10-Business_Logic_Testing/02-Test_Ability_to_Forge_Requests", "Test Ability to Forge Requests")</f>
        <v/>
      </c>
      <c r="D108" s="16" t="inlineStr">
        <is>
          <t>- Review the project documentation looking for guessable, predictable, or hidden functionality of fields.
- Insert logically valid data in order to bypass normal business logic workflow.</t>
        </is>
      </c>
      <c r="E108" s="18" t="inlineStr">
        <is>
          <t>Not Started</t>
        </is>
      </c>
      <c r="F108" s="18" t="n"/>
    </row>
    <row r="109" ht="148.5" customHeight="1" s="82">
      <c r="A109" s="19" t="n"/>
      <c r="B109" s="34" t="inlineStr">
        <is>
          <t>WSTG-BUSL-03</t>
        </is>
      </c>
      <c r="C109" s="15">
        <f>HYPERLINK("https://owasp.org/www-project-web-security-testing-guide/latest/4-Web_Application_Security_Testing/10-Business_Logic_Testing/03-Test_Integrity_Checks", "Test Integrity Checks")</f>
        <v/>
      </c>
      <c r="D109"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9" s="18" t="inlineStr">
        <is>
          <t>Not Started</t>
        </is>
      </c>
      <c r="F109" s="18" t="n"/>
    </row>
    <row r="110" ht="49.5" customHeight="1" s="82">
      <c r="A110" s="19" t="n"/>
      <c r="B110" s="34" t="inlineStr">
        <is>
          <t>WSTG-BUSL-04</t>
        </is>
      </c>
      <c r="C110" s="15">
        <f>HYPERLINK("https://owasp.org/www-project-web-security-testing-guide/latest/4-Web_Application_Security_Testing/10-Business_Logic_Testing/04-Test_for_Process_Timing", "Test for Process Timing")</f>
        <v/>
      </c>
      <c r="D110" s="16" t="inlineStr">
        <is>
          <t>- Review the project documentation for system functionality that may be impacted by time.
- Develop and execute misuse cases.</t>
        </is>
      </c>
      <c r="E110" s="18" t="inlineStr">
        <is>
          <t>Not Started</t>
        </is>
      </c>
      <c r="F110" s="18" t="n"/>
    </row>
    <row r="111" ht="66" customHeight="1" s="82">
      <c r="A111" s="19" t="n"/>
      <c r="B111" s="34" t="inlineStr">
        <is>
          <t>WSTG-BUSL-05</t>
        </is>
      </c>
      <c r="C111" s="15">
        <f>HYPERLINK("https://owasp.org/www-project-web-security-testing-guide/latest/4-Web_Application_Security_Testing/10-Business_Logic_Testing/05-Test_Number_of_Times_a_Function_Can_Be_Used_Limits", "Test Number of Times a Function Can Be Used Limits")</f>
        <v/>
      </c>
      <c r="D111" s="16" t="inlineStr">
        <is>
          <t>- Identify functions that must set limits to the times they can be called.
- Assess if there is a logical limit set on the functions and if it is properly validated.</t>
        </is>
      </c>
      <c r="E111" s="18" t="inlineStr">
        <is>
          <t>Not Started</t>
        </is>
      </c>
      <c r="F111" s="18" t="n"/>
    </row>
    <row r="112" ht="82.5" customHeight="1" s="82">
      <c r="A112" s="19" t="n"/>
      <c r="B112" s="34" t="inlineStr">
        <is>
          <t>WSTG-BUSL-06</t>
        </is>
      </c>
      <c r="C112" s="15">
        <f>HYPERLINK("https://owasp.org/www-project-web-security-testing-guide/latest/4-Web_Application_Security_Testing/10-Business_Logic_Testing/06-Testing_for_the_Circumvention_of_Work_Flows", "Testing for the Circumvention of Work Flows")</f>
        <v/>
      </c>
      <c r="D112" s="16" t="inlineStr">
        <is>
          <t>- Review the project documentation for methods to skip or go through steps in the application process in a different order from the intended business logic flow.
- Develop a misuse case and try to circumvent every logic flow identified.</t>
        </is>
      </c>
      <c r="E112" s="18" t="inlineStr">
        <is>
          <t>Not Started</t>
        </is>
      </c>
      <c r="F112" s="18" t="n"/>
    </row>
    <row r="113" ht="99" customHeight="1" s="82">
      <c r="A113" s="19" t="n"/>
      <c r="B113" s="34" t="inlineStr">
        <is>
          <t>WSTG-BUSL-07</t>
        </is>
      </c>
      <c r="C113" s="15">
        <f>HYPERLINK("https://owasp.org/www-project-web-security-testing-guide/latest/4-Web_Application_Security_Testing/10-Business_Logic_Testing/07-Test_Defenses_Against_Application_Misuse", "Test Defenses Against Application Misuse")</f>
        <v/>
      </c>
      <c r="D113"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3" s="18" t="inlineStr">
        <is>
          <t>Not Started</t>
        </is>
      </c>
      <c r="F113" s="18" t="n"/>
    </row>
    <row r="114" ht="99" customHeight="1" s="82">
      <c r="A114" s="19" t="n"/>
      <c r="B114" s="34" t="inlineStr">
        <is>
          <t>WSTG-BUSL-08</t>
        </is>
      </c>
      <c r="C114" s="15">
        <f>HYPERLINK("https://owasp.org/www-project-web-security-testing-guide/latest/4-Web_Application_Security_Testing/10-Business_Logic_Testing/08-Test_Upload_of_Unexpected_File_Types", "Test Upload of Unexpected File Types")</f>
        <v/>
      </c>
      <c r="D114"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4" s="18" t="inlineStr">
        <is>
          <t>Not Started</t>
        </is>
      </c>
      <c r="F114" s="18" t="n"/>
    </row>
    <row r="115" ht="165" customHeight="1" s="82">
      <c r="A115" s="19" t="n"/>
      <c r="B115" s="34" t="inlineStr">
        <is>
          <t>WSTG-BUSL-09</t>
        </is>
      </c>
      <c r="C115" s="15">
        <f>HYPERLINK("https://owasp.org/www-project-web-security-testing-guide/latest/4-Web_Application_Security_Testing/10-Business_Logic_Testing/09-Test_Upload_of_Malicious_Files", "Test Upload of Malicious Files")</f>
        <v/>
      </c>
      <c r="D115"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5" s="18" t="inlineStr">
        <is>
          <t>Not Started</t>
        </is>
      </c>
      <c r="F115" s="18" t="n"/>
    </row>
    <row r="116" ht="66" customHeight="1" s="82">
      <c r="A116" s="19" t="n"/>
      <c r="B116" s="34" t="inlineStr">
        <is>
          <t>WSTG-BUSL-10</t>
        </is>
      </c>
      <c r="C116" s="15">
        <f>HYPERLINK("https://owasp.org/www-project-web-security-testing-guide/latest/4-Web_Application_Security_Testing/10-Business_Logic_Testing/10-Test-Payment-Functionality", "Test Payment Functionality")</f>
        <v/>
      </c>
      <c r="D116" s="16" t="inlineStr">
        <is>
          <t>- Determine whether the business logic for the e-commerce functionality is robust.
- Understand how the payment functionality works.
- Determine whether the payment functionality is secure.</t>
        </is>
      </c>
      <c r="E116" s="18" t="inlineStr">
        <is>
          <t>Not Started</t>
        </is>
      </c>
      <c r="F116" s="18" t="n"/>
    </row>
    <row r="117" ht="15" customHeight="1" s="82">
      <c r="A117" s="97" t="n"/>
      <c r="B117" s="98" t="n"/>
      <c r="C117" s="99" t="n"/>
      <c r="D117" s="99" t="n"/>
      <c r="E117" s="99" t="n"/>
      <c r="F117" s="99" t="n"/>
    </row>
    <row r="118" ht="47.25" customHeight="1" s="82">
      <c r="A118" s="9" t="n"/>
      <c r="B118" s="100" t="inlineStr">
        <is>
          <t>Client-side Testing</t>
        </is>
      </c>
      <c r="C118" s="101" t="inlineStr">
        <is>
          <t>Test Name</t>
        </is>
      </c>
      <c r="D118" s="101" t="inlineStr">
        <is>
          <t>Objectives</t>
        </is>
      </c>
      <c r="E118" s="101" t="inlineStr">
        <is>
          <t>Status</t>
        </is>
      </c>
      <c r="F118" s="101" t="inlineStr">
        <is>
          <t>Notes</t>
        </is>
      </c>
    </row>
    <row r="119" ht="33" customHeight="1" s="82">
      <c r="A119" s="19" t="n"/>
      <c r="B119" s="34" t="inlineStr">
        <is>
          <t>WSTG-CLNT-01</t>
        </is>
      </c>
      <c r="C119" s="15">
        <f>HYPERLINK("https://owasp.org/www-project-web-security-testing-guide/latest/4-Web_Application_Security_Testing/11-Client-side_Testing/01-Testing_for_DOM-based_Cross_Site_Scripting", "Testing for DOM-Based Cross Site Scripting")</f>
        <v/>
      </c>
      <c r="D119" s="16" t="inlineStr">
        <is>
          <t>- Identify DOM sinks.
- Build payloads that pertain to every sink type.</t>
        </is>
      </c>
      <c r="E119" s="18" t="inlineStr">
        <is>
          <t>Not Started</t>
        </is>
      </c>
      <c r="F119" s="18" t="n"/>
    </row>
    <row r="120" ht="16.5" customHeight="1" s="82">
      <c r="A120" s="19" t="n"/>
      <c r="B120" s="34" t="inlineStr">
        <is>
          <t>WSTG-CLNT-02</t>
        </is>
      </c>
      <c r="C120" s="15">
        <f>HYPERLINK("https://owasp.org/www-project-web-security-testing-guide/latest/4-Web_Application_Security_Testing/11-Client-side_Testing/02-Testing_for_JavaScript_Execution", "Testing for JavaScript Execution")</f>
        <v/>
      </c>
      <c r="D120" s="16" t="inlineStr">
        <is>
          <t>- Identify sinks and possible JavaScript injection points.</t>
        </is>
      </c>
      <c r="E120" s="18" t="inlineStr">
        <is>
          <t>Not Started</t>
        </is>
      </c>
      <c r="F120" s="18" t="n"/>
    </row>
    <row r="121" ht="33" customHeight="1" s="82">
      <c r="A121" s="19" t="n"/>
      <c r="B121" s="34" t="inlineStr">
        <is>
          <t>WSTG-CLNT-03</t>
        </is>
      </c>
      <c r="C121" s="15">
        <f>HYPERLINK("https://owasp.org/www-project-web-security-testing-guide/latest/4-Web_Application_Security_Testing/11-Client-side_Testing/03-Testing_for_HTML_Injection", "Testing for HTML Injection")</f>
        <v/>
      </c>
      <c r="D121" s="16" t="inlineStr">
        <is>
          <t>- Identify HTML injection points and assess the severity of the injected content.</t>
        </is>
      </c>
      <c r="E121" s="18" t="inlineStr">
        <is>
          <t>Not Started</t>
        </is>
      </c>
      <c r="F121" s="18" t="n"/>
    </row>
    <row r="122" ht="33" customHeight="1" s="82">
      <c r="A122" s="19" t="n"/>
      <c r="B122" s="34" t="inlineStr">
        <is>
          <t>WSTG-CLNT-04</t>
        </is>
      </c>
      <c r="C122" s="15">
        <f>HYPERLINK("https://owasp.org/www-project-web-security-testing-guide/latest/4-Web_Application_Security_Testing/11-Client-side_Testing/04-Testing_for_Client-side_URL_Redirect", "Testing for Client-side URL Redirect")</f>
        <v/>
      </c>
      <c r="D122" s="16" t="inlineStr">
        <is>
          <t>- Identify injection points that handle URLs or paths.
- Assess the locations that the system could redirect to.</t>
        </is>
      </c>
      <c r="E122" s="18" t="inlineStr">
        <is>
          <t>Not Started</t>
        </is>
      </c>
      <c r="F122" s="18" t="n"/>
    </row>
    <row r="123" ht="33" customHeight="1" s="82">
      <c r="A123" s="19" t="n"/>
      <c r="B123" s="34" t="inlineStr">
        <is>
          <t>WSTG-CLNT-05</t>
        </is>
      </c>
      <c r="C123" s="15">
        <f>HYPERLINK("https://owasp.org/www-project-web-security-testing-guide/latest/4-Web_Application_Security_Testing/11-Client-side_Testing/05-Testing_for_CSS_Injection", "Testing for CSS Injection")</f>
        <v/>
      </c>
      <c r="D123" s="16" t="inlineStr">
        <is>
          <t>- Identify CSS injection points.
- Assess the impact of the injection.</t>
        </is>
      </c>
      <c r="E123" s="18" t="inlineStr">
        <is>
          <t>Not Started</t>
        </is>
      </c>
      <c r="F123" s="18" t="n"/>
    </row>
    <row r="124" ht="33" customHeight="1" s="82">
      <c r="A124" s="19" t="n"/>
      <c r="B124" s="34" t="inlineStr">
        <is>
          <t>WSTG-CLNT-06</t>
        </is>
      </c>
      <c r="C124" s="15">
        <f>HYPERLINK("https://owasp.org/www-project-web-security-testing-guide/latest/4-Web_Application_Security_Testing/11-Client-side_Testing/06-Testing_for_Client-side_Resource_Manipulation", "Testing for Client-side Resource Manipulation")</f>
        <v/>
      </c>
      <c r="D124" s="16" t="inlineStr">
        <is>
          <t>- Identify sinks with weak input validation.
- Assess the impact of the resource manipulation.</t>
        </is>
      </c>
      <c r="E124" s="18" t="inlineStr">
        <is>
          <t>Not Started</t>
        </is>
      </c>
      <c r="F124" s="18" t="n"/>
    </row>
    <row r="125" ht="33" customHeight="1" s="82">
      <c r="A125" s="19" t="n"/>
      <c r="B125" s="34" t="inlineStr">
        <is>
          <t>WSTG-CLNT-07</t>
        </is>
      </c>
      <c r="C125" s="15">
        <f>HYPERLINK("https://owasp.org/www-project-web-security-testing-guide/latest/4-Web_Application_Security_Testing/11-Client-side_Testing/07-Testing_Cross_Origin_Resource_Sharing", "Testing Cross Origin Resource Sharing")</f>
        <v/>
      </c>
      <c r="D125" s="16" t="inlineStr">
        <is>
          <t>- Identify endpoints that implement CORS.
- Ensure that the CORS configuration is secure or harmless.</t>
        </is>
      </c>
      <c r="E125" s="18" t="inlineStr">
        <is>
          <t>Not Started</t>
        </is>
      </c>
      <c r="F125" s="18" t="n"/>
    </row>
    <row r="126" ht="16.5" customHeight="1" s="82">
      <c r="A126" s="19" t="n"/>
      <c r="B126" s="34" t="inlineStr">
        <is>
          <t>WSTG-CLNT-09</t>
        </is>
      </c>
      <c r="C126" s="15">
        <f>HYPERLINK("https://owasp.org/www-project-web-security-testing-guide/latest/4-Web_Application_Security_Testing/11-Client-side_Testing/09-Testing_for_Clickjacking", "Testing for Clickjacking")</f>
        <v/>
      </c>
      <c r="D126" s="16" t="inlineStr">
        <is>
          <t>- Assess application vulnerability to clickjacking attacks.</t>
        </is>
      </c>
      <c r="E126" s="18" t="inlineStr">
        <is>
          <t>Not Started</t>
        </is>
      </c>
      <c r="F126" s="18" t="n"/>
    </row>
    <row r="127" ht="49.5" customHeight="1" s="82">
      <c r="A127" s="19" t="n"/>
      <c r="B127" s="34" t="inlineStr">
        <is>
          <t>WSTG-CLNT-10</t>
        </is>
      </c>
      <c r="C127" s="15">
        <f>HYPERLINK("https://owasp.org/www-project-web-security-testing-guide/latest/4-Web_Application_Security_Testing/11-Client-side_Testing/10-Testing_WebSockets", "Testing WebSockets")</f>
        <v/>
      </c>
      <c r="D127" s="16" t="inlineStr">
        <is>
          <t>- Identify the usage of WebSockets.
- Assess its implementation by using the same tests on normal HTTP channels.</t>
        </is>
      </c>
      <c r="E127" s="18" t="inlineStr">
        <is>
          <t>Not Started</t>
        </is>
      </c>
      <c r="F127" s="18" t="n"/>
    </row>
    <row r="128" ht="49.5" customHeight="1" s="82">
      <c r="A128" s="19" t="n"/>
      <c r="B128" s="34" t="inlineStr">
        <is>
          <t>WSTG-CLNT-11</t>
        </is>
      </c>
      <c r="C128" s="15">
        <f>HYPERLINK("https://owasp.org/www-project-web-security-testing-guide/latest/4-Web_Application_Security_Testing/11-Client-side_Testing/11-Testing_Web_Messaging", "Testing Web Messaging")</f>
        <v/>
      </c>
      <c r="D128" s="16" t="inlineStr">
        <is>
          <t>- Assess the security of the message's origin.
- Validate that it's using safe methods and validating its input.</t>
        </is>
      </c>
      <c r="E128" s="18" t="inlineStr">
        <is>
          <t>Not Started</t>
        </is>
      </c>
      <c r="F128" s="18" t="n"/>
    </row>
    <row r="129" ht="82.5" customHeight="1" s="82">
      <c r="A129" s="19" t="n"/>
      <c r="B129" s="34" t="inlineStr">
        <is>
          <t>WSTG-CLNT-12</t>
        </is>
      </c>
      <c r="C129" s="15">
        <f>HYPERLINK("https://owasp.org/www-project-web-security-testing-guide/latest/4-Web_Application_Security_Testing/11-Client-side_Testing/12-Testing_Browser_Storage", "Testing Browser Storage")</f>
        <v/>
      </c>
      <c r="D129" s="16" t="inlineStr">
        <is>
          <t>- Determine whether the site is storing sensitive data in client-side storage.
- The code handling of the storage objects should be examined for possibilities of injection attacks, such as utilizing unvalidated input or vulnerable libraries.</t>
        </is>
      </c>
      <c r="E129" s="18" t="inlineStr">
        <is>
          <t>Not Started</t>
        </is>
      </c>
      <c r="F129" s="18" t="n"/>
    </row>
    <row r="130" ht="49.5" customHeight="1" s="82">
      <c r="A130" s="19" t="n"/>
      <c r="B130" s="34" t="inlineStr">
        <is>
          <t>WSTG-CLNT-13</t>
        </is>
      </c>
      <c r="C130" s="15">
        <f>HYPERLINK("https://owasp.org/www-project-web-security-testing-guide/latest/4-Web_Application_Security_Testing/11-Client-side_Testing/13-Testing_for_Cross_Site_Script_Inclusion", "Testing for Cross Site Script Inclusion")</f>
        <v/>
      </c>
      <c r="D130" s="16" t="inlineStr">
        <is>
          <t>- Locate sensitive data across the system.
- Assess the leakage of sensitive data through various techniques.</t>
        </is>
      </c>
      <c r="E130" s="18" t="inlineStr">
        <is>
          <t>Not Started</t>
        </is>
      </c>
      <c r="F130" s="18" t="n"/>
    </row>
    <row r="131" ht="16.5" customHeight="1" s="82">
      <c r="A131" s="19" t="n"/>
      <c r="B131" s="34" t="inlineStr">
        <is>
          <t>WSTG-CLNT-14</t>
        </is>
      </c>
      <c r="C131" s="15">
        <f>HYPERLINK("https://owasp.org/www-project-web-security-testing-guide/latest/4-Web_Application_Security_Testing/11-Client-side_Testing/14-Testing_for_Reverse_Tabnabbing", "Testing for Reverse Tabnabbing")</f>
        <v/>
      </c>
      <c r="D131" s="16" t="inlineStr">
        <is>
          <t>N/A</t>
        </is>
      </c>
      <c r="E131" s="18" t="inlineStr">
        <is>
          <t>Not Started</t>
        </is>
      </c>
      <c r="F131" s="18" t="n"/>
    </row>
    <row r="132" ht="99" customHeight="1" s="82">
      <c r="A132" s="19" t="n"/>
      <c r="B132" s="34" t="inlineStr">
        <is>
          <t>WSTG-CLNT-15</t>
        </is>
      </c>
      <c r="C132" s="15">
        <f>HYPERLINK("https://owasp.org/www-project-web-security-testing-guide/latest/4-Web_Application_Security_Testing/11-Client-side_Testing/15-Testing_for_Client-Side_Template_Injection", "Testing for Client-side Template Injection")</f>
        <v/>
      </c>
      <c r="D132"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2" s="18" t="inlineStr">
        <is>
          <t>Not Started</t>
        </is>
      </c>
      <c r="F132" s="18" t="n"/>
    </row>
    <row r="133" ht="15" customHeight="1" s="82">
      <c r="A133" s="97" t="n"/>
      <c r="B133" s="98" t="n"/>
      <c r="C133" s="99" t="n"/>
      <c r="D133" s="99" t="n"/>
      <c r="E133" s="99" t="n"/>
      <c r="F133" s="99" t="n"/>
    </row>
    <row r="134" ht="47.25" customHeight="1" s="82">
      <c r="A134" s="9" t="n"/>
      <c r="B134" s="100" t="inlineStr">
        <is>
          <t>API Testing</t>
        </is>
      </c>
      <c r="C134" s="101" t="inlineStr">
        <is>
          <t>Test Name</t>
        </is>
      </c>
      <c r="D134" s="101" t="inlineStr">
        <is>
          <t>Objectives</t>
        </is>
      </c>
      <c r="E134" s="101" t="inlineStr">
        <is>
          <t>Status</t>
        </is>
      </c>
      <c r="F134" s="101" t="inlineStr">
        <is>
          <t>Notes</t>
        </is>
      </c>
    </row>
    <row r="135" ht="99" customHeight="1" s="82">
      <c r="A135" s="19" t="n"/>
      <c r="B135" s="34" t="inlineStr">
        <is>
          <t>WSTG-APIT-01</t>
        </is>
      </c>
      <c r="C135" s="15">
        <f>HYPERLINK("https://owasp.org/www-project-web-security-testing-guide/latest/4-Web_Application_Security_Testing/12-API_Testing/01-API_Reconnaissance", "API Reconnaissance")</f>
        <v/>
      </c>
      <c r="D135"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5" s="18" t="inlineStr">
        <is>
          <t>Not Started</t>
        </is>
      </c>
      <c r="F135" s="18" t="n"/>
    </row>
    <row r="136" ht="66" customHeight="1" s="82">
      <c r="A136" s="19" t="n"/>
      <c r="B136" s="34" t="inlineStr">
        <is>
          <t>WSTG-APIT-02</t>
        </is>
      </c>
      <c r="C136" s="15">
        <f>HYPERLINK("https://owasp.org/www-project-web-security-testing-guide/latest/4-Web_Application_Security_Testing/12-API_Testing/02-API_Broken_Object_Level_Authorization", "API Broken Object Level Authorization")</f>
        <v/>
      </c>
      <c r="D136" s="16" t="inlineStr">
        <is>
          <t>- The objective of this test is to identify whether the API enforces proper **object-level authorization** checks, ensuring that users can only access and manipulate objects they are authorized to interact with.</t>
        </is>
      </c>
      <c r="E136" s="18" t="inlineStr">
        <is>
          <t>Not Started</t>
        </is>
      </c>
      <c r="F136" s="18" t="n"/>
    </row>
    <row r="137" ht="132" customHeight="1" s="82">
      <c r="A137" s="19" t="n"/>
      <c r="B137" s="34" t="inlineStr">
        <is>
          <t>WSTG-APIT-03</t>
        </is>
      </c>
      <c r="C137" s="15">
        <f>HYPERLINK("https://owasp.org/www-project-web-security-testing-guide/latest/4-Web_Application_Security_Testing/12-API_Testing/03-Testing_for_Excessive_Data_Exposure", "Testing for Excessive Data Exposure")</f>
        <v/>
      </c>
      <c r="D137"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7" s="18" t="inlineStr">
        <is>
          <t>Not Started</t>
        </is>
      </c>
      <c r="F137" s="18" t="n"/>
    </row>
    <row r="138" ht="82.5" customHeight="1" s="82">
      <c r="A138" s="19" t="n"/>
      <c r="B138" s="34" t="inlineStr">
        <is>
          <t>WSTG-APIT-04</t>
        </is>
      </c>
      <c r="C138" s="15">
        <f>HYPERLINK("https://owasp.org/www-project-web-security-testing-guide/latest/4-Web_Application_Security_Testing/12-API_Testing/04-API_Broken_Function_Level_Authorization", "API Broken Function Level Authorization")</f>
        <v/>
      </c>
      <c r="D138"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8" s="18" t="inlineStr">
        <is>
          <t>Not Started</t>
        </is>
      </c>
      <c r="F138" s="18" t="n"/>
    </row>
    <row r="139" ht="66" customHeight="1" s="82">
      <c r="A139" s="19" t="n"/>
      <c r="B139" s="34" t="inlineStr">
        <is>
          <t>WSTG-APIT-99</t>
        </is>
      </c>
      <c r="C139" s="15">
        <f>HYPERLINK("https://owasp.org/www-project-web-security-testing-guide/latest/4-Web_Application_Security_Testing/12-API_Testing/99-Testing_GraphQL", "Testing GraphQL")</f>
        <v/>
      </c>
      <c r="D139" s="16" t="inlineStr">
        <is>
          <t>- Assess that a secure and production-ready configuration is deployed.
- Validate all input fields against generic attacks.
- Ensure that proper access controls are applied.</t>
        </is>
      </c>
      <c r="E139" s="18" t="inlineStr">
        <is>
          <t>Not Started</t>
        </is>
      </c>
      <c r="F139" s="18" t="n"/>
    </row>
    <row r="140" ht="15" customHeight="1" s="82">
      <c r="A140" s="97" t="n"/>
      <c r="B140" s="98" t="n"/>
      <c r="C140" s="99" t="n"/>
      <c r="D140" s="99" t="n"/>
      <c r="E140" s="99" t="n"/>
      <c r="F140"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0">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4 E97 E98 E101 E102 E103 E104 E107 E108 E109 E110 E111 E112 E113 E114 E115 E116 E119 E120 E121 E122 E123 E124 E125 E126 E127 E128 E129 E130 E131 E132 E135 E136 E137 E138 E139"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2026-08-08T21:27:40Z</dcterms:created>
  <dcterms:modified xsi:type="dcterms:W3CDTF">2026-08-08T21:27:40Z</dcterms:modified>
  <cp:lastModifiedBy>Rejah Rehim</cp:lastModifiedBy>
</cp:coreProperties>
</file>