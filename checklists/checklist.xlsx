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5"/>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66" customHeight="1" s="82">
      <c r="A6" s="19" t="n"/>
      <c r="B6" s="34" t="inlineStr">
        <is>
          <t>WSTG-INFO-01</t>
        </is>
      </c>
      <c r="C6" s="15">
        <f>HYPERLINK("https://owasp.org/www-project-web-security-testing-guide/latest/4-Web_Application_Security_Testing/01-Information_Gathering/01-Conduct_Search_Engine_Reconnaissance_for_Information_Leakage", "Conduct Search Engine Reconnaissance for Information Leakage")</f>
        <v/>
      </c>
      <c r="D6" s="16" t="inlineStr">
        <is>
          <t>- Identify what sensitive design and configuration information of the application, system, or organization is exposed directly (on the organization's site) or indirectly (via third-party services).</t>
        </is>
      </c>
      <c r="E6" s="18" t="inlineStr">
        <is>
          <t>Not Started</t>
        </is>
      </c>
      <c r="F6" s="18" t="n"/>
    </row>
    <row r="7" ht="33" customHeight="1" s="82">
      <c r="A7" s="19" t="n"/>
      <c r="B7" s="34" t="inlineStr">
        <is>
          <t>WSTG-INFO-02</t>
        </is>
      </c>
      <c r="C7" s="15">
        <f>HYPERLINK("https://owasp.org/www-project-web-security-testing-guide/latest/4-Web_Application_Security_Testing/01-Information_Gathering/02-Fingerprint_Web_Server", "Fingerprint Web Server")</f>
        <v/>
      </c>
      <c r="D7" s="16" t="inlineStr">
        <is>
          <t>- Determine the version and type of a running web server to enable further discovery of any known vulnerabilities.</t>
        </is>
      </c>
      <c r="E7" s="18" t="inlineStr">
        <is>
          <t>Not Started</t>
        </is>
      </c>
      <c r="F7" s="18" t="n"/>
    </row>
    <row r="8" ht="66" customHeight="1" s="82">
      <c r="A8" s="19" t="n"/>
      <c r="B8" s="34" t="inlineStr">
        <is>
          <t>WSTG-INFO-03</t>
        </is>
      </c>
      <c r="C8" s="15">
        <f>HYPERLINK("https://owasp.org/www-project-web-security-testing-guide/latest/4-Web_Application_Security_Testing/01-Information_Gathering/03-Review_Webserver_Metafiles_for_Information_Leakage", "Review Webserver Metafiles for Information Leakage")</f>
        <v/>
      </c>
      <c r="D8" s="16" t="inlineStr">
        <is>
          <t>- Identify hidden or obfuscated paths and functionality through the analysis of metadata files.
- Extract and map other information that could lead to a better understanding of the systems at hand.</t>
        </is>
      </c>
      <c r="E8" s="18" t="inlineStr">
        <is>
          <t>Not Started</t>
        </is>
      </c>
      <c r="F8" s="18" t="n"/>
    </row>
    <row r="9" ht="115.5" customHeight="1" s="82">
      <c r="A9" s="19" t="n"/>
      <c r="B9" s="34" t="inlineStr">
        <is>
          <t>WSTG-INFO-04</t>
        </is>
      </c>
      <c r="C9" s="15">
        <f>HYPERLINK("https://owasp.org/www-project-web-security-testing-guide/latest/4-Web_Application_Security_Testing/01-Information_Gathering/04-Attack_Surface_Identification", "Attack Surface Identification")</f>
        <v/>
      </c>
      <c r="D9" s="16" t="inlineStr">
        <is>
          <t>- Enumerate all web applications within scope.
- Identify DNS names, domains, and virtual hosts associated with the target.
- Discover additional domains and subdomains using passive and active DNS techniques.
- Analyze digital certificates and Certificate Transparency logs for additional hostnames.</t>
        </is>
      </c>
      <c r="E9" s="18" t="inlineStr">
        <is>
          <t>Not Started</t>
        </is>
      </c>
      <c r="F9" s="18" t="n"/>
    </row>
    <row r="10" ht="115.5" customHeight="1" s="82">
      <c r="A10" s="19" t="n"/>
      <c r="B10" s="34" t="inlineStr">
        <is>
          <t>WSTG-INFO-05</t>
        </is>
      </c>
      <c r="C10" s="15">
        <f>HYPERLINK("https://owasp.org/www-project-web-security-testing-guide/latest/4-Web_Application_Security_Testing/01-Information_Gathering/05-Review_Web_Page_Content_for_Information_Leakage", "Review Web Page Content for Information Leakage")</f>
        <v/>
      </c>
      <c r="D10" s="16" t="inlineStr">
        <is>
          <t>- Review web page comments, metadata, and redirect bodies to find any information leakage.
- Gather JavaScript files and review the JS code to better understand the application and to find any information leakage.
- Identify if source map files or other frontend debug files exist.</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"Identify Application Entry Points")</f>
        <v/>
      </c>
      <c r="D11" s="16" t="inlineStr">
        <is>
          <t>- Identify possible entry and injection points through request and response analysis.</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 Execution Paths Through Application")</f>
        <v/>
      </c>
      <c r="D12" s="16" t="inlineStr">
        <is>
          <t>- Map the target application and understand the principal workflows.</t>
        </is>
      </c>
      <c r="E12" s="18" t="inlineStr">
        <is>
          <t>Not Started</t>
        </is>
      </c>
      <c r="F12" s="18" t="n"/>
    </row>
    <row r="13" ht="16.5" customHeight="1" s="82">
      <c r="A13" s="19" t="n"/>
      <c r="B13" s="34" t="inlineStr">
        <is>
          <t>WSTG-INFO-08</t>
        </is>
      </c>
      <c r="C13" s="15">
        <f>HYPERLINK("https://owasp.org/www-project-web-security-testing-guide/latest/4-Web_Application_Security_Testing/01-Information_Gathering/08-Fingerprint_Web_Application_Framework", "Fingerprint Web Application Framework")</f>
        <v/>
      </c>
      <c r="D13" s="16" t="inlineStr">
        <is>
          <t>- Fingerprint the components used by the web applications.</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"Fingerprint Web Application")</f>
        <v/>
      </c>
      <c r="D14" s="16" t="inlineStr">
        <is>
          <t>N/A</t>
        </is>
      </c>
      <c r="E14" s="18" t="inlineStr">
        <is>
          <t>Not Started</t>
        </is>
      </c>
      <c r="F14" s="18" t="n"/>
    </row>
    <row r="15" ht="33" customHeight="1" s="82">
      <c r="A15" s="19" t="n"/>
      <c r="B15" s="34" t="inlineStr">
        <is>
          <t>WSTG-INFO-10</t>
        </is>
      </c>
      <c r="C15" s="15">
        <f>HYPERLINK("https://owasp.org/www-project-web-security-testing-guide/latest/4-Web_Application_Security_Testing/01-Information_Gathering/10-Map_Application_Architecture", "Map Application Architecture")</f>
        <v/>
      </c>
      <c r="D15" s="16" t="inlineStr">
        <is>
          <t>- Understand the architecture of the application and the technologies in use.</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t>
        </is>
      </c>
      <c r="C17" s="101" t="inlineStr">
        <is>
          <t>Test Name</t>
        </is>
      </c>
      <c r="D17" s="101" t="inlineStr">
        <is>
          <t>Objectives</t>
        </is>
      </c>
      <c r="E17" s="101" t="inlineStr">
        <is>
          <t>Status</t>
        </is>
      </c>
      <c r="F17" s="101" t="inlineStr">
        <is>
          <t>Notes</t>
        </is>
      </c>
    </row>
    <row r="18" ht="165" customHeight="1" s="82">
      <c r="A18" s="19" t="n"/>
      <c r="B18" s="34" t="inlineStr">
        <is>
          <t>WSTG-CONF-01</t>
        </is>
      </c>
      <c r="C18" s="15">
        <f>HYPERLINK("https://owasp.org/www-project-web-security-testing-guide/latest/4-Web_Application_Security_Testing/02-Configuration_and_Deployment_Management/01-Network_Infrastructure_Configuration", "Network Infrastructure Configuration")</f>
        <v/>
      </c>
      <c r="D18" s="16" t="inlineStr">
        <is>
          <t>- Review the applications' configurations set across the network and validate that they are not vulnerable.
- Validate that used frameworks and systems are secure and not susceptible to known vulnerabilities due to unmaintained software or default settings and credentials.
- Where the infrastructure is cloud-hosted or containerized, review network isolation controls (security groups/NSGs, VPC/subnet layout, load balancer/CDN configuration, service mesh policies, Kubernetes `NetworkPolicy`) for unintended exposure or overly permissive rules.</t>
        </is>
      </c>
      <c r="E18" s="18" t="inlineStr">
        <is>
          <t>Not Started</t>
        </is>
      </c>
      <c r="F18" s="18" t="n"/>
    </row>
    <row r="19" ht="198" customHeight="1" s="82">
      <c r="A19" s="19" t="n"/>
      <c r="B19" s="34" t="inlineStr">
        <is>
          <t>WSTG-CONF-02</t>
        </is>
      </c>
      <c r="C19" s="15">
        <f>HYPERLINK("https://owasp.org/www-project-web-security-testing-guide/latest/4-Web_Application_Security_Testing/02-Configuration_and_Deployment_Management/02-Application_Platform_Configuration", "Application Platform Configuration")</f>
        <v/>
      </c>
      <c r="D19" s="16" t="inlineStr">
        <is>
          <t>- Ensure that default, sample, and known files have been removed from the deployed platform, container image, or serverless package.
- Validate that no debugging code, debug endpoints, debug modes, or unused modules/dependencies are left enabled in production environments.
- Review the logging mechanisms set in place for the application, including what sensitive data may be captured and who/what can access or retain it.
- Confirm framework-, container-, and serverless-specific production hardening settings are applied rather than left at insecure defaults.</t>
        </is>
      </c>
      <c r="E19" s="18" t="inlineStr">
        <is>
          <t>Not Started</t>
        </is>
      </c>
      <c r="F19" s="18" t="n"/>
    </row>
    <row r="20" ht="33" customHeight="1" s="82">
      <c r="A20" s="19" t="n"/>
      <c r="B20" s="34" t="inlineStr">
        <is>
          <t>WSTG-CONF-03</t>
        </is>
      </c>
      <c r="C20" s="15">
        <f>HYPERLINK("https://owasp.org/www-project-web-security-testing-guide/latest/4-Web_Application_Security_Testing/02-Configuration_and_Deployment_Management/03-File_Extensions_Handling_for_Sensitive_Information", "File Extensions Handling for Sensitive Information")</f>
        <v/>
      </c>
      <c r="D20" s="16" t="inlineStr">
        <is>
          <t>N/A</t>
        </is>
      </c>
      <c r="E20" s="18" t="inlineStr">
        <is>
          <t>Not Started</t>
        </is>
      </c>
      <c r="F20" s="18" t="n"/>
    </row>
    <row r="21" ht="115.5" customHeight="1" s="82">
      <c r="A21" s="19" t="n"/>
      <c r="B21" s="34" t="inlineStr">
        <is>
          <t>WSTG-CONF-04</t>
        </is>
      </c>
      <c r="C21" s="15">
        <f>HYPERLINK("https://owasp.org/www-project-web-security-testing-guide/latest/4-Web_Application_Security_Testing/02-Configuration_and_Deployment_Management/04-Review_Old_Backup_and_Unreferenced_Files_for_Sensitive_Information", "Review Old Backup and Unreferenced Files for Sensitive Information")</f>
        <v/>
      </c>
      <c r="D21" s="16" t="inlineStr">
        <is>
          <t>- Find and analyze old, backup, and unreferenced files - including files exposed only through their extension, and objects left in cloud storage - that might contain sensitive information.
- Validate that no system or framework bypasses exist for any rules put in place to prevent these files from being served.</t>
        </is>
      </c>
      <c r="E21" s="18" t="inlineStr">
        <is>
          <t>Not Started</t>
        </is>
      </c>
      <c r="F21" s="18" t="n"/>
    </row>
    <row r="22" ht="99" customHeight="1" s="82">
      <c r="A22" s="19" t="n"/>
      <c r="B22" s="34" t="inlineStr">
        <is>
          <t>WSTG-CONF-05</t>
        </is>
      </c>
      <c r="C22" s="15">
        <f>HYPERLINK("https://owasp.org/www-project-web-security-testing-guide/latest/4-Web_Application_Security_Testing/02-Configuration_and_Deployment_Management/05-Enumerate_Infrastructure_and_Application_Admin_Interfaces", "Enumerate Infrastructure and Application Admin Interfaces")</f>
        <v/>
      </c>
      <c r="D22" s="16" t="inlineStr">
        <is>
          <t>- Identify hidden administrator interfaces and functionality, including cloud, container-orchestration, API-management, and CI/CD management consoles.
- Check any discovered interface for default, weak, or reused credentials, and for exposure to networks/users beyond those intended.</t>
        </is>
      </c>
      <c r="E22" s="18" t="inlineStr">
        <is>
          <t>Not Started</t>
        </is>
      </c>
      <c r="F22" s="18" t="n"/>
    </row>
    <row r="23" ht="49.5" customHeight="1" s="82">
      <c r="A23" s="19" t="n"/>
      <c r="B23" s="34" t="inlineStr">
        <is>
          <t>WSTG-CONF-06</t>
        </is>
      </c>
      <c r="C23" s="15">
        <f>HYPERLINK("https://owasp.org/www-project-web-security-testing-guide/latest/4-Web_Application_Security_Testing/02-Configuration_and_Deployment_Management/06-HTTP_Methods", "HTTP Methods")</f>
        <v/>
      </c>
      <c r="D23" s="16" t="inlineStr">
        <is>
          <t>- Enumerate supported HTTP methods.
- Test for access control bypass.
- Test HTTP method overriding techniques.</t>
        </is>
      </c>
      <c r="E23" s="18" t="inlineStr">
        <is>
          <t>Not Started</t>
        </is>
      </c>
      <c r="F23" s="18" t="n"/>
    </row>
    <row r="24" ht="132" customHeight="1" s="82">
      <c r="A24" s="19" t="n"/>
      <c r="B24" s="34" t="inlineStr">
        <is>
          <t>WSTG-CONF-07</t>
        </is>
      </c>
      <c r="C24" s="15">
        <f>HYPERLINK("https://owasp.org/www-project-web-security-testing-guide/latest/4-Web_Application_Security_Testing/02-Configuration_and_Deployment_Management/07-HTTP_Strict_Transport_Security", "HTTP Strict Transport Security")</f>
        <v/>
      </c>
      <c r="D24" s="16" t="inlineStr">
        <is>
          <t>- Review the HSTS header, its directives, and their values for consistency with current best practice.
- Confirm the site is protected against the first-request trust gap, either via preload or an otherwise hardened HTTP-to-HTTPS path.
- Confirm HSTS is applied consistently across the domain and relevant subdomains, and does not mask mixed-content issues.</t>
        </is>
      </c>
      <c r="E24" s="18" t="inlineStr">
        <is>
          <t>Not Started</t>
        </is>
      </c>
      <c r="F24" s="18" t="n"/>
    </row>
    <row r="25" ht="165" customHeight="1" s="82">
      <c r="A25" s="19" t="n"/>
      <c r="B25" s="34" t="inlineStr">
        <is>
          <t>WSTG-CONF-09</t>
        </is>
      </c>
      <c r="C25" s="15">
        <f>HYPERLINK("https://owasp.org/www-project-web-security-testing-guide/latest/4-Web_Application_Security_Testing/02-Configuration_and_Deployment_Management/09-File_Permissions", "File Permissions")</f>
        <v/>
      </c>
      <c r="D25" s="16" t="inlineStr">
        <is>
          <t>- Review and identify any rogue file permissions on the host filesystem, in container images/filesystems, and on cloud storage objects.
- Assess whether Kubernetes volume mounts and `securityContext` settings enforce least-privilege access to files and secrets.
- Identify secrets stored with overly broad permissions, wherever they are held (filesystem, container image, orchestration secret store, cloud secrets manager export, CI artifacts).</t>
        </is>
      </c>
      <c r="E25" s="18" t="inlineStr">
        <is>
          <t>Not Started</t>
        </is>
      </c>
      <c r="F25" s="18" t="n"/>
    </row>
    <row r="26" ht="148.5" customHeight="1" s="82">
      <c r="A26" s="19" t="n"/>
      <c r="B26" s="34" t="inlineStr">
        <is>
          <t>WSTG-CONF-10</t>
        </is>
      </c>
      <c r="C26" s="15">
        <f>HYPERLINK("https://owasp.org/www-project-web-security-testing-guide/latest/4-Web_Application_Security_Testing/02-Configuration_and_Deployment_Management/10-Subdomain_Takeover", "Subdomain Takeover")</f>
        <v/>
      </c>
      <c r="D26" s="16" t="inlineStr">
        <is>
          <t>- Enumerate all possible domains (previous and current), including wildcard-covered names.
- Identify any forgotten or misconfigured domains, and any dangling-service signature not covered by a known response fingerprint.
- Where a takeover is confirmed feasible, assess whether the parent application's cookies, CORS policy, OAuth redirect validation, or CSP allowlist extend trust to the claimed subdomain.</t>
        </is>
      </c>
      <c r="E26" s="18" t="inlineStr">
        <is>
          <t>Not Started</t>
        </is>
      </c>
      <c r="F26" s="18" t="n"/>
    </row>
    <row r="27" ht="132" customHeight="1" s="82">
      <c r="A27" s="19" t="n"/>
      <c r="B27" s="34" t="inlineStr">
        <is>
          <t>WSTG-CONF-11</t>
        </is>
      </c>
      <c r="C27" s="15">
        <f>HYPERLINK("https://owasp.org/www-project-web-security-testing-guide/latest/4-Web_Application_Security_Testing/02-Configuration_and_Deployment_Management/11-Cloud_Storage", "Cloud Storage")</f>
        <v/>
      </c>
      <c r="D27" s="16" t="inlineStr">
        <is>
          <t>- Assess that the access control configuration for the storage services (bucket/container-level public access, and object/principal-level ACLs or IAM policies) is properly in place.
- Assess whether signed/presigned URLs are scoped, time-limited, and handled appropriately.
- Assess whether object versioning and lifecycle configuration could expose old or supposedly-removed sensitive data.</t>
        </is>
      </c>
      <c r="E27" s="18" t="inlineStr">
        <is>
          <t>Not Started</t>
        </is>
      </c>
      <c r="F27" s="18" t="n"/>
    </row>
    <row r="28" ht="33" customHeight="1" s="82">
      <c r="A28" s="19" t="n"/>
      <c r="B28" s="34" t="inlineStr">
        <is>
          <t>WSTG-CONF-12</t>
        </is>
      </c>
      <c r="C28" s="15">
        <f>HYPERLINK("https://owasp.org/www-project-web-security-testing-guide/latest/4-Web_Application_Security_Testing/02-Configuration_and_Deployment_Management/12-Content_Security_Policy", "Content Security Policy")</f>
        <v/>
      </c>
      <c r="D28" s="16" t="inlineStr">
        <is>
          <t>- Review the Content-Security-Policy header or meta element to identify misconfigurations.</t>
        </is>
      </c>
      <c r="E28" s="18" t="inlineStr">
        <is>
          <t>Not Started</t>
        </is>
      </c>
      <c r="F28" s="18" t="n"/>
    </row>
    <row r="29" ht="115.5" customHeight="1" s="82">
      <c r="A29" s="19" t="n"/>
      <c r="B29" s="34" t="inlineStr">
        <is>
          <t>WSTG-CONF-13</t>
        </is>
      </c>
      <c r="C29" s="15">
        <f>HYPERLINK("https://owasp.org/www-project-web-security-testing-guide/latest/4-Web_Application_Security_Testing/02-Configuration_and_Deployment_Management/13-Path_Confusion", "Path Confusion")</f>
        <v/>
      </c>
      <c r="D29" s="16" t="inlineStr">
        <is>
          <t>- Make sure application paths are configured and normalized consistently across all components (application, proxy, cache, CDN, WAF) that make decisions based on the path.
- Identify cases where trailing slashes, case sensitivity, or encoding differences cause a security control (auth/access rules, routing, cache keying) to be bypassed or behave inconsistently.</t>
        </is>
      </c>
      <c r="E29" s="18" t="inlineStr">
        <is>
          <t>Not Started</t>
        </is>
      </c>
      <c r="F29" s="18" t="n"/>
    </row>
    <row r="30" ht="66" customHeight="1" s="82">
      <c r="A30" s="19" t="n"/>
      <c r="B30" s="34" t="inlineStr">
        <is>
          <t>WSTG-CONF-14</t>
        </is>
      </c>
      <c r="C30" s="15">
        <f>HYPERLINK("https://owasp.org/www-project-web-security-testing-guide/latest/4-Web_Application_Security_Testing/02-Configuration_and_Deployment_Management/14-Other_HTTP_Security_Header_Misconfigurations", "Other HTTP Security Header Misconfigurations")</f>
        <v/>
      </c>
      <c r="D30" s="16" t="inlineStr">
        <is>
          <t>- Identify improperly configured security headers.
- Assess the impact of misconfigured security headers.
- Validate the correct implementation of required security headers.</t>
        </is>
      </c>
      <c r="E30" s="18" t="inlineStr">
        <is>
          <t>Not Started</t>
        </is>
      </c>
      <c r="F30" s="18" t="n"/>
    </row>
    <row r="31" ht="247.5" customHeight="1" s="82">
      <c r="A31" s="19" t="n"/>
      <c r="B31" s="34" t="inlineStr">
        <is>
          <t>WSTG-CONF-15</t>
        </is>
      </c>
      <c r="C31" s="15">
        <f>HYPERLINK("https://owasp.org/www-project-web-security-testing-guide/latest/4-Web_Application_Security_Testing/02-Configuration_and_Deployment_Management/15-Feature_Flag_Security_Bypass", "Feature Flag Security Bypass")</f>
        <v/>
      </c>
      <c r="D31" s="16" t="inlineStr">
        <is>
          <t>- Identify feature flags and kill-switches that control security-relevant functionality.
- Determine whether feature flag states can be manipulated by an unauthorized client, and verify that backend security controls remain enforced independently of client-side flag state.
- Verify that security controls remain consistently enforced across flag transitions, rollbacks, staged deployments, and services or instances, including whether stale security assertions or session state can be reused after a transition.
- Evaluate fail-safe behavior when the feature flag service is unavailable.
- Identify sensitive information exposed through feature flag configurations, and stale flags that may expose deprecated or unpatched code paths.</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t>
        </is>
      </c>
      <c r="C33" s="101" t="inlineStr">
        <is>
          <t>Test Name</t>
        </is>
      </c>
      <c r="D33" s="101" t="inlineStr">
        <is>
          <t>Objectives</t>
        </is>
      </c>
      <c r="E33" s="101" t="inlineStr">
        <is>
          <t>Status</t>
        </is>
      </c>
      <c r="F33" s="101" t="inlineStr">
        <is>
          <t>Notes</t>
        </is>
      </c>
    </row>
    <row r="34" ht="66" customHeight="1" s="82">
      <c r="A34" s="19" t="n"/>
      <c r="B34" s="34" t="inlineStr">
        <is>
          <t>WSTG-IDNT-01</t>
        </is>
      </c>
      <c r="C34" s="15">
        <f>HYPERLINK("https://owasp.org/www-project-web-security-testing-guide/latest/4-Web_Application_Security_Testing/03-Identity_Management/01-Role_Definitions", "Role Definitions")</f>
        <v/>
      </c>
      <c r="D34" s="16" t="inlineStr">
        <is>
          <t>- Identify and document roles used by the application.
- Attempt to switch, change, or access another role.
- Review the granularity of the roles and the needs behind the permissions given.</t>
        </is>
      </c>
      <c r="E34" s="18" t="inlineStr">
        <is>
          <t>Not Started</t>
        </is>
      </c>
      <c r="F34" s="18" t="n"/>
    </row>
    <row r="35" ht="49.5" customHeight="1" s="82">
      <c r="A35" s="19" t="n"/>
      <c r="B35" s="34" t="inlineStr">
        <is>
          <t>WSTG-IDNT-02</t>
        </is>
      </c>
      <c r="C35" s="15">
        <f>HYPERLINK("https://owasp.org/www-project-web-security-testing-guide/latest/4-Web_Application_Security_Testing/03-Identity_Management/02-User_Registration_Process", "User Registration Process")</f>
        <v/>
      </c>
      <c r="D35" s="16" t="inlineStr">
        <is>
          <t>- Verify that the identity requirements for user registration are aligned with business and security requirements.
- Validate the registration process.</t>
        </is>
      </c>
      <c r="E35" s="18" t="inlineStr">
        <is>
          <t>Not Started</t>
        </is>
      </c>
      <c r="F35" s="18" t="n"/>
    </row>
    <row r="36" ht="33" customHeight="1" s="82">
      <c r="A36" s="19" t="n"/>
      <c r="B36" s="34" t="inlineStr">
        <is>
          <t>WSTG-IDNT-03</t>
        </is>
      </c>
      <c r="C36" s="15">
        <f>HYPERLINK("https://owasp.org/www-project-web-security-testing-guide/latest/4-Web_Application_Security_Testing/03-Identity_Management/03-Account_Provisioning_Process", "Account Provisioning Process")</f>
        <v/>
      </c>
      <c r="D36" s="16" t="inlineStr">
        <is>
          <t>- Verify which accounts may provision other accounts and of what type.</t>
        </is>
      </c>
      <c r="E36" s="18" t="inlineStr">
        <is>
          <t>Not Started</t>
        </is>
      </c>
      <c r="F36" s="18" t="n"/>
    </row>
    <row r="37" ht="49.5" customHeight="1" s="82">
      <c r="A37" s="19" t="n"/>
      <c r="B37" s="34" t="inlineStr">
        <is>
          <t>WSTG-IDNT-04</t>
        </is>
      </c>
      <c r="C37" s="15">
        <f>HYPERLINK("https://owasp.org/www-project-web-security-testing-guide/latest/4-Web_Application_Security_Testing/03-Identity_Management/04-Account_Enumeration_and_Guessable_User_Account", "Account Enumeration and Guessable User Account")</f>
        <v/>
      </c>
      <c r="D37" s="16" t="inlineStr">
        <is>
          <t>- Review processes that pertain to user identification (*e.g.* registration, login, etc.).
- Enumerate users where possible through response analysis.</t>
        </is>
      </c>
      <c r="E37" s="18" t="inlineStr">
        <is>
          <t>Not Started</t>
        </is>
      </c>
      <c r="F37" s="18" t="n"/>
    </row>
    <row r="38" ht="16.5" customHeight="1" s="82">
      <c r="A38" s="19" t="n"/>
      <c r="B38" s="34" t="inlineStr">
        <is>
          <t>WSTG-IDNT-05</t>
        </is>
      </c>
      <c r="C38" s="15">
        <f>HYPERLINK("https://owasp.org/www-project-web-security-testing-guide/latest/4-Web_Application_Security_Testing/03-Identity_Management/05-Weak_or_Unenforced_Username_Policy", "Weak or Unenforced Username Policy")</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HYPERLINK("https://owasp.org/www-project-web-security-testing-guide/latest/4-Web_Application_Security_Testing/04-Authentication/01-Credentials_Transported_over_an_Encrypted_Channel", "Credentials Transported over an Encrypted Channel")</f>
        <v/>
      </c>
      <c r="D41" s="16" t="inlineStr">
        <is>
          <t>N/A</t>
        </is>
      </c>
      <c r="E41" s="18" t="inlineStr">
        <is>
          <t>Not Started</t>
        </is>
      </c>
      <c r="F41" s="18" t="n"/>
    </row>
    <row r="42" ht="66" customHeight="1" s="82">
      <c r="A42" s="19" t="n"/>
      <c r="B42" s="34" t="inlineStr">
        <is>
          <t>WSTG-ATHN-02</t>
        </is>
      </c>
      <c r="C42" s="15">
        <f>HYPERLINK("https://owasp.org/www-project-web-security-testing-guide/latest/4-Web_Application_Security_Testing/04-Authentication/02-Default_Credentials", "Default Credentials")</f>
        <v/>
      </c>
      <c r="D42" s="16" t="inlineStr">
        <is>
          <t>- Determine whether the application has any user accounts with default passwords.
- Review whether new user accounts are created with weak or predictable passwords.</t>
        </is>
      </c>
      <c r="E42" s="18" t="inlineStr">
        <is>
          <t>Not Started</t>
        </is>
      </c>
      <c r="F42" s="18" t="n"/>
    </row>
    <row r="43" ht="66" customHeight="1" s="82">
      <c r="A43" s="19" t="n"/>
      <c r="B43" s="34" t="inlineStr">
        <is>
          <t>WSTG-ATHN-03</t>
        </is>
      </c>
      <c r="C43" s="15">
        <f>HYPERLINK("https://owasp.org/www-project-web-security-testing-guide/latest/4-Web_Application_Security_Testing/04-Authentication/03-Weak_Lock_Out_Mechanism", "Weak Lock Out Mechanism")</f>
        <v/>
      </c>
      <c r="D43" s="16" t="inlineStr">
        <is>
          <t>- Evaluate the account lockout mechanism's ability to mitigate brute force password guessing.
- Evaluate the unlock mechanism's resistance to unauthorized account unlocking.</t>
        </is>
      </c>
      <c r="E43" s="18" t="inlineStr">
        <is>
          <t>Not Started</t>
        </is>
      </c>
      <c r="F43" s="18" t="n"/>
    </row>
    <row r="44" ht="33" customHeight="1" s="82">
      <c r="A44" s="19" t="n"/>
      <c r="B44" s="34" t="inlineStr">
        <is>
          <t>WSTG-ATHN-04</t>
        </is>
      </c>
      <c r="C44" s="15">
        <f>HYPERLINK("https://owasp.org/www-project-web-security-testing-guide/latest/4-Web_Application_Security_Testing/04-Authentication/04-Bypassing_Authentication_Schema", "Bypassing Authentication Schema")</f>
        <v/>
      </c>
      <c r="D44" s="16" t="inlineStr">
        <is>
          <t>- Ensure that authentication is applied across all services that require it.</t>
        </is>
      </c>
      <c r="E44" s="18" t="inlineStr">
        <is>
          <t>Not Started</t>
        </is>
      </c>
      <c r="F44" s="18" t="n"/>
    </row>
    <row r="45" ht="33" customHeight="1" s="82">
      <c r="A45" s="19" t="n"/>
      <c r="B45" s="34" t="inlineStr">
        <is>
          <t>WSTG-ATHN-05</t>
        </is>
      </c>
      <c r="C45" s="15">
        <f>HYPERLINK("https://owasp.org/www-project-web-security-testing-guide/latest/4-Web_Application_Security_Testing/04-Authentication/05-Vulnerable_Remember_Password", "Vulnerable Remember Password")</f>
        <v/>
      </c>
      <c r="D45" s="16" t="inlineStr">
        <is>
          <t>- Validate that the generated session is managed securely and do not put the user's credentials in danger.</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HYPERLINK("https://owasp.org/www-project-web-security-testing-guide/latest/4-Web_Application_Security_Testing/04-Authentication/06-Browser_Cache_Weaknesses", "Browser Cache Weaknesses")</f>
        <v/>
      </c>
      <c r="D46" s="16" t="inlineStr">
        <is>
          <t>- Review if the application stores sensitive information on the client-side.
- Review if access can occur without authorization.</t>
        </is>
      </c>
      <c r="E46" s="18" t="inlineStr">
        <is>
          <t>Not Started</t>
        </is>
      </c>
      <c r="F46" s="18" t="n"/>
    </row>
    <row r="47" ht="66" customHeight="1" s="82">
      <c r="A47" s="19" t="n"/>
      <c r="B47" s="34" t="inlineStr">
        <is>
          <t>WSTG-ATHN-07</t>
        </is>
      </c>
      <c r="C47" s="15">
        <f>HYPERLINK("https://owasp.org/www-project-web-security-testing-guide/latest/4-Web_Application_Security_Testing/04-Authentication/07-Weak_Authentication_Methods", "Weak Authentication Methods")</f>
        <v/>
      </c>
      <c r="D47" s="16" t="inlineStr">
        <is>
          <t>- Determine the resistance of the application against brute force password guessing using available password dictionaries by evaluating the length, complexity, reuse, and aging requirements of passwords.</t>
        </is>
      </c>
      <c r="E47" s="18" t="inlineStr">
        <is>
          <t>Not Started</t>
        </is>
      </c>
      <c r="F47" s="18" t="n"/>
    </row>
    <row r="48" ht="49.5" customHeight="1" s="82">
      <c r="A48" s="19" t="n"/>
      <c r="B48" s="34" t="inlineStr">
        <is>
          <t>WSTG-ATHN-08</t>
        </is>
      </c>
      <c r="C48" s="15">
        <f>HYPERLINK("https://owasp.org/www-project-web-security-testing-guide/latest/4-Web_Application_Security_Testing/04-Authentication/08-Weak_Security_Question_Answer", "Weak Security Question Answer")</f>
        <v/>
      </c>
      <c r="D48" s="16" t="inlineStr">
        <is>
          <t>- Determine the complexity and how straight-forward the questions are.
- Assess possible user answers and brute force capabilities.</t>
        </is>
      </c>
      <c r="E48" s="18" t="inlineStr">
        <is>
          <t>Not Started</t>
        </is>
      </c>
      <c r="F48" s="18" t="n"/>
    </row>
    <row r="49" ht="33" customHeight="1" s="82">
      <c r="A49" s="19" t="n"/>
      <c r="B49" s="34" t="inlineStr">
        <is>
          <t>WSTG-ATHN-09</t>
        </is>
      </c>
      <c r="C49" s="15">
        <f>HYPERLINK("https://owasp.org/www-project-web-security-testing-guide/latest/4-Web_Application_Security_Testing/04-Authentication/09-Weak_Password_Change_or_Reset_Functionalities", "Weak Password Change or Reset Functionalities")</f>
        <v/>
      </c>
      <c r="D49" s="16" t="inlineStr">
        <is>
          <t>- Determine whether the password change and reset functionality allows accounts to be compromised.</t>
        </is>
      </c>
      <c r="E49" s="18" t="inlineStr">
        <is>
          <t>Not Started</t>
        </is>
      </c>
      <c r="F49" s="18" t="n"/>
    </row>
    <row r="50" ht="49.5" customHeight="1" s="82">
      <c r="A50" s="19" t="n"/>
      <c r="B50" s="34" t="inlineStr">
        <is>
          <t>WSTG-ATHN-10</t>
        </is>
      </c>
      <c r="C50" s="15">
        <f>HYPERLINK("https://owasp.org/www-project-web-security-testing-guide/latest/4-Web_Application_Security_Testing/04-Authentication/10-Weaker_Authentication_in_Alternative_Channel", "Weaker Authentication in Alternative Channel")</f>
        <v/>
      </c>
      <c r="D50" s="16" t="inlineStr">
        <is>
          <t>- Identify alternative authentication channels.
- Assess the security measures used and if any bypasses exists on the alternative channels.</t>
        </is>
      </c>
      <c r="E50" s="18" t="inlineStr">
        <is>
          <t>Not Started</t>
        </is>
      </c>
      <c r="F50" s="18" t="n"/>
    </row>
    <row r="51" ht="66" customHeight="1" s="82">
      <c r="A51" s="19" t="n"/>
      <c r="B51" s="34" t="inlineStr">
        <is>
          <t>WSTG-ATHN-11</t>
        </is>
      </c>
      <c r="C51" s="15">
        <f>HYPERLINK("https://owasp.org/www-project-web-security-testing-guide/latest/4-Web_Application_Security_Testing/04-Authentication/11-Multi-Factor_Authentication", "Multi-Factor Authentication (MFA)")</f>
        <v/>
      </c>
      <c r="D51" s="16" t="inlineStr">
        <is>
          <t>- Identify the type of MFA used by the application.
- Determine whether the MFA implementation is robust and secure.
- Attempt to bypass the MFA.</t>
        </is>
      </c>
      <c r="E51" s="18" t="inlineStr">
        <is>
          <t>Not Started</t>
        </is>
      </c>
      <c r="F51" s="18" t="n"/>
    </row>
    <row r="52" ht="15" customHeight="1" s="82">
      <c r="A52" s="97" t="n"/>
      <c r="B52" s="98" t="n"/>
      <c r="C52" s="99" t="n"/>
      <c r="D52" s="99" t="n"/>
      <c r="E52" s="99" t="n"/>
      <c r="F52" s="99" t="n"/>
    </row>
    <row r="53" ht="47.25" customHeight="1" s="82">
      <c r="A53" s="9" t="n"/>
      <c r="B53" s="100" t="inlineStr">
        <is>
          <t>Authorization</t>
        </is>
      </c>
      <c r="C53" s="101" t="inlineStr">
        <is>
          <t>Test Name</t>
        </is>
      </c>
      <c r="D53" s="101" t="inlineStr">
        <is>
          <t>Objectives</t>
        </is>
      </c>
      <c r="E53" s="101" t="inlineStr">
        <is>
          <t>Status</t>
        </is>
      </c>
      <c r="F53" s="101" t="inlineStr">
        <is>
          <t>Notes</t>
        </is>
      </c>
    </row>
    <row r="54" ht="49.5" customHeight="1" s="82">
      <c r="A54" s="19" t="n"/>
      <c r="B54" s="34" t="inlineStr">
        <is>
          <t>WSTG-ATHZ-01</t>
        </is>
      </c>
      <c r="C54" s="15">
        <f>HYPERLINK("https://owasp.org/www-project-web-security-testing-guide/latest/4-Web_Application_Security_Testing/05-Authorization/01-Directory_Traversal_File_Include", "Directory Traversal File Include")</f>
        <v/>
      </c>
      <c r="D54" s="16" t="inlineStr">
        <is>
          <t>- Identify injection points that pertain to path traversal.
- Assess bypassing techniques and identify the extent of path traversal.</t>
        </is>
      </c>
      <c r="E54" s="18" t="inlineStr">
        <is>
          <t>Not Started</t>
        </is>
      </c>
      <c r="F54" s="18" t="n"/>
    </row>
    <row r="55" ht="33" customHeight="1" s="82">
      <c r="A55" s="19" t="n"/>
      <c r="B55" s="34" t="inlineStr">
        <is>
          <t>WSTG-ATHZ-02</t>
        </is>
      </c>
      <c r="C55" s="15">
        <f>HYPERLINK("https://owasp.org/www-project-web-security-testing-guide/latest/4-Web_Application_Security_Testing/05-Authorization/02-Bypassing_Authorization_Schema", "Bypassing Authorization Schema")</f>
        <v/>
      </c>
      <c r="D55" s="16" t="inlineStr">
        <is>
          <t>- Assess if unauthenticated, horizontal, or vertical access is possible.</t>
        </is>
      </c>
      <c r="E55" s="18" t="inlineStr">
        <is>
          <t>Not Started</t>
        </is>
      </c>
      <c r="F55" s="18" t="n"/>
    </row>
    <row r="56" ht="49.5" customHeight="1" s="82">
      <c r="A56" s="19" t="n"/>
      <c r="B56" s="34" t="inlineStr">
        <is>
          <t>WSTG-ATHZ-03</t>
        </is>
      </c>
      <c r="C56" s="15">
        <f>HYPERLINK("https://owasp.org/www-project-web-security-testing-guide/latest/4-Web_Application_Security_Testing/05-Authorization/03-Privilege_Escalation", "Privilege Escalation")</f>
        <v/>
      </c>
      <c r="D56" s="16" t="inlineStr">
        <is>
          <t>- Identify injection points related to privilege manipulation.
- Fuzz or otherwise attempt to bypass security measures.</t>
        </is>
      </c>
      <c r="E56" s="18" t="inlineStr">
        <is>
          <t>Not Started</t>
        </is>
      </c>
      <c r="F56" s="18" t="n"/>
    </row>
    <row r="57" ht="49.5" customHeight="1" s="82">
      <c r="A57" s="19" t="n"/>
      <c r="B57" s="34" t="inlineStr">
        <is>
          <t>WSTG-ATHZ-04</t>
        </is>
      </c>
      <c r="C57" s="15">
        <f>HYPERLINK("https://owasp.org/www-project-web-security-testing-guide/latest/4-Web_Application_Security_Testing/05-Authorization/04-Insecure_Direct_Object_References", "Insecure Direct Object References")</f>
        <v/>
      </c>
      <c r="D57" s="16" t="inlineStr">
        <is>
          <t>- Identify points where object references may occur.
- Assess the access control measures and if they're vulnerable to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HYPERLINK("https://owasp.org/www-project-web-security-testing-guide/latest/4-Web_Application_Security_Testing/05-Authorization/05-OAuth_Weaknesses",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t>
        </is>
      </c>
      <c r="C60" s="101" t="inlineStr">
        <is>
          <t>Test Name</t>
        </is>
      </c>
      <c r="D60" s="101" t="inlineStr">
        <is>
          <t>Objectives</t>
        </is>
      </c>
      <c r="E60" s="101" t="inlineStr">
        <is>
          <t>Status</t>
        </is>
      </c>
      <c r="F60" s="101" t="inlineStr">
        <is>
          <t>Notes</t>
        </is>
      </c>
    </row>
    <row r="61" ht="99" customHeight="1" s="82">
      <c r="A61" s="19" t="n"/>
      <c r="B61" s="34" t="inlineStr">
        <is>
          <t>WSTG-SESS-01</t>
        </is>
      </c>
      <c r="C61" s="15">
        <f>HYPERLINK("https://owasp.org/www-project-web-security-testing-guide/latest/4-Web_Application_Security_Testing/06-Session_Management/01-Session_Management_Schema", "Session Management Schema")</f>
        <v/>
      </c>
      <c r="D61" s="16" t="inlineStr">
        <is>
          <t>- Gather session tokens, for the same user and for different users where possible.
- Analyze and ensure that enough randomness exists to stop session forging attacks.
- Modify cookies that are not signed and contain information that can be manipulated.</t>
        </is>
      </c>
      <c r="E61" s="18" t="inlineStr">
        <is>
          <t>Not Started</t>
        </is>
      </c>
      <c r="F61" s="18" t="n"/>
    </row>
    <row r="62" ht="33" customHeight="1" s="82">
      <c r="A62" s="19" t="n"/>
      <c r="B62" s="34" t="inlineStr">
        <is>
          <t>WSTG-SESS-02</t>
        </is>
      </c>
      <c r="C62" s="15">
        <f>HYPERLINK("https://owasp.org/www-project-web-security-testing-guide/latest/4-Web_Application_Security_Testing/06-Session_Management/02-Cookies_Attributes", "Cookies Attributes")</f>
        <v/>
      </c>
      <c r="D62" s="16" t="inlineStr">
        <is>
          <t>- Ensure that the proper security configuration is set for cookies.</t>
        </is>
      </c>
      <c r="E62" s="18" t="inlineStr">
        <is>
          <t>Not Started</t>
        </is>
      </c>
      <c r="F62" s="18" t="n"/>
    </row>
    <row r="63" ht="33" customHeight="1" s="82">
      <c r="A63" s="19" t="n"/>
      <c r="B63" s="34" t="inlineStr">
        <is>
          <t>WSTG-SESS-03</t>
        </is>
      </c>
      <c r="C63" s="15">
        <f>HYPERLINK("https://owasp.org/www-project-web-security-testing-guide/latest/4-Web_Application_Security_Testing/06-Session_Management/03-Session_Fixation", "Session Fixation")</f>
        <v/>
      </c>
      <c r="D63" s="16" t="inlineStr">
        <is>
          <t>- Analyze the authentication mechanism and its flow.
- Force cookies and assess the impact.</t>
        </is>
      </c>
      <c r="E63" s="18" t="inlineStr">
        <is>
          <t>Not Started</t>
        </is>
      </c>
      <c r="F63" s="18" t="n"/>
    </row>
    <row r="64" ht="49.5" customHeight="1" s="82">
      <c r="A64" s="19" t="n"/>
      <c r="B64" s="34" t="inlineStr">
        <is>
          <t>WSTG-SESS-04</t>
        </is>
      </c>
      <c r="C64" s="15">
        <f>HYPERLINK("https://owasp.org/www-project-web-security-testing-guide/latest/4-Web_Application_Security_Testing/06-Session_Management/04-Exposed_Session_Variables", "Exposed Session Variables")</f>
        <v/>
      </c>
      <c r="D64" s="16" t="inlineStr">
        <is>
          <t>- Ensure that proper encryption is implemented.
- Review the caching configuration.
- Assess the channel and methods' security.</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HYPERLINK("https://owasp.org/www-project-web-security-testing-guide/latest/4-Web_Application_Security_Testing/06-Session_Management/05-Cross_Site_Request_Forgery", "Cross Site Request Forgery")</f>
        <v/>
      </c>
      <c r="D65" s="16" t="inlineStr">
        <is>
          <t>- Determine whether it is possible to initiate requests on a user's behalf that are not initiated by the user.</t>
        </is>
      </c>
      <c r="E65" s="18" t="inlineStr">
        <is>
          <t>Not Started</t>
        </is>
      </c>
      <c r="F65" s="18" t="n"/>
    </row>
    <row r="66" ht="49.5" customHeight="1" s="82">
      <c r="A66" s="19" t="n"/>
      <c r="B66" s="34" t="inlineStr">
        <is>
          <t>WSTG-SESS-06</t>
        </is>
      </c>
      <c r="C66" s="15">
        <f>HYPERLINK("https://owasp.org/www-project-web-security-testing-guide/latest/4-Web_Application_Security_Testing/06-Session_Management/06-Logout_Functionality", "Logout Functionality")</f>
        <v/>
      </c>
      <c r="D66" s="16" t="inlineStr">
        <is>
          <t>- Assess the logout UI.
- Analyze the session timeout and if the session is properly killed after logout.</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HYPERLINK("https://owasp.org/www-project-web-security-testing-guide/latest/4-Web_Application_Security_Testing/06-Session_Management/07-Session_Timeout", "Session Timeout")</f>
        <v/>
      </c>
      <c r="D67" s="16" t="inlineStr">
        <is>
          <t>- Validate that a hard session timeout exists.</t>
        </is>
      </c>
      <c r="E67" s="18" t="inlineStr">
        <is>
          <t>Not Started</t>
        </is>
      </c>
      <c r="F67" s="18" t="n"/>
    </row>
    <row r="68" ht="33" customHeight="1" s="82">
      <c r="A68" s="19" t="n"/>
      <c r="B68" s="34" t="inlineStr">
        <is>
          <t>WSTG-SESS-08</t>
        </is>
      </c>
      <c r="C68" s="15">
        <f>HYPERLINK("https://owasp.org/www-project-web-security-testing-guide/latest/4-Web_Application_Security_Testing/06-Session_Management/08-Session_Puzzling", "Session Puzzling")</f>
        <v/>
      </c>
      <c r="D68" s="16" t="inlineStr">
        <is>
          <t>- Identify all session variables.
- Break the logical flow of session generation.</t>
        </is>
      </c>
      <c r="E68" s="18" t="inlineStr">
        <is>
          <t>Not Started</t>
        </is>
      </c>
      <c r="F68" s="18" t="n"/>
    </row>
    <row r="69" ht="33" customHeight="1" s="82">
      <c r="A69" s="19" t="n"/>
      <c r="B69" s="34" t="inlineStr">
        <is>
          <t>WSTG-SESS-09</t>
        </is>
      </c>
      <c r="C69" s="15">
        <f>HYPERLINK("https://owasp.org/www-project-web-security-testing-guide/latest/4-Web_Application_Security_Testing/06-Session_Management/09-Session_Hijacking", "Session Hijacking")</f>
        <v/>
      </c>
      <c r="D69" s="16" t="inlineStr">
        <is>
          <t>- Identify vulnerable session cookies.
- Hijack vulnerable cookies and assess the risk level.</t>
        </is>
      </c>
      <c r="E69" s="18" t="inlineStr">
        <is>
          <t>Not Started</t>
        </is>
      </c>
      <c r="F69" s="18" t="n"/>
    </row>
    <row r="70" ht="49.5" customHeight="1" s="82">
      <c r="A70" s="19" t="n"/>
      <c r="B70" s="34" t="inlineStr">
        <is>
          <t>WSTG-SESS-10</t>
        </is>
      </c>
      <c r="C70" s="15">
        <f>HYPERLINK("https://owasp.org/www-project-web-security-testing-guide/latest/4-Web_Application_Security_Testing/06-Session_Management/10-JSON_Web_Tokens", "JSON Web Tokens")</f>
        <v/>
      </c>
      <c r="D70" s="16" t="inlineStr">
        <is>
          <t>- Determine whether the JWTs expose sensitive information.
- Determine whether the JWTs can be tampered with or modified.</t>
        </is>
      </c>
      <c r="E70" s="18" t="inlineStr">
        <is>
          <t>Not Started</t>
        </is>
      </c>
      <c r="F70" s="18" t="n"/>
    </row>
    <row r="71" ht="49.5" customHeight="1" s="82">
      <c r="A71" s="19" t="n"/>
      <c r="B71" s="34" t="inlineStr">
        <is>
          <t>WSTG-SESS-11</t>
        </is>
      </c>
      <c r="C71" s="15">
        <f>HYPERLINK("https://owasp.org/www-project-web-security-testing-guide/latest/4-Web_Application_Security_Testing/06-Session_Management/11-Concurrent_Sessions", "Concurrent Sessions")</f>
        <v/>
      </c>
      <c r="D71" s="16" t="inlineStr">
        <is>
          <t>- Evaluate the application's session management by assessing the handling of multiple active sessions for a single user account.</t>
        </is>
      </c>
      <c r="E71" s="18" t="inlineStr">
        <is>
          <t>Not Started</t>
        </is>
      </c>
      <c r="F71" s="18" t="n"/>
    </row>
    <row r="72" ht="15" customHeight="1" s="82">
      <c r="A72" s="97" t="n"/>
      <c r="B72" s="98" t="n"/>
      <c r="C72" s="99" t="n"/>
      <c r="D72" s="99" t="n"/>
      <c r="E72" s="99" t="n"/>
      <c r="F72" s="99" t="n"/>
    </row>
    <row r="73" ht="47.25" customHeight="1" s="82">
      <c r="A73" s="9" t="n"/>
      <c r="B73" s="100" t="inlineStr">
        <is>
          <t>Injection</t>
        </is>
      </c>
      <c r="C73" s="101" t="inlineStr">
        <is>
          <t>Test Name</t>
        </is>
      </c>
      <c r="D73" s="101" t="inlineStr">
        <is>
          <t>Objectives</t>
        </is>
      </c>
      <c r="E73" s="101" t="inlineStr">
        <is>
          <t>Status</t>
        </is>
      </c>
      <c r="F73" s="101" t="inlineStr">
        <is>
          <t>Notes</t>
        </is>
      </c>
    </row>
    <row r="74" ht="49.5" customHeight="1" s="82">
      <c r="A74" s="19" t="n"/>
      <c r="B74" s="34" t="inlineStr">
        <is>
          <t>WSTG-INJT-01</t>
        </is>
      </c>
      <c r="C74" s="15">
        <f>HYPERLINK("https://owasp.org/www-project-web-security-testing-guide/latest/4-Web_Application_Security_Testing/07-Injection/01-Reflected_Cross_Site_Scripting", "Reflected Cross Site Scripting")</f>
        <v/>
      </c>
      <c r="D74" s="16" t="inlineStr">
        <is>
          <t>- Identify variables that are reflected in responses.
- Assess the input they accept and the encoding that gets applied on return (if any).</t>
        </is>
      </c>
      <c r="E74" s="18" t="inlineStr">
        <is>
          <t>Not Started</t>
        </is>
      </c>
      <c r="F74" s="18" t="n"/>
    </row>
    <row r="75" ht="66" customHeight="1" s="82">
      <c r="A75" s="19" t="n"/>
      <c r="B75" s="34" t="inlineStr">
        <is>
          <t>WSTG-INJT-02</t>
        </is>
      </c>
      <c r="C75" s="15">
        <f>HYPERLINK("https://owasp.org/www-project-web-security-testing-guide/latest/4-Web_Application_Security_Testing/07-Injection/02-Stored_Cross_Site_Scripting", "Stored Cross Site Scripting")</f>
        <v/>
      </c>
      <c r="D75" s="16" t="inlineStr">
        <is>
          <t>- Identify stored input that is reflected on the client-side.
- Assess the input they accept and the encoding that gets applied on return (if any).</t>
        </is>
      </c>
      <c r="E75" s="18" t="inlineStr">
        <is>
          <t>Not Started</t>
        </is>
      </c>
      <c r="F75" s="18" t="n"/>
    </row>
    <row r="76" ht="16.5" customHeight="1" s="82">
      <c r="A76" s="19" t="n"/>
      <c r="B76" s="34" t="inlineStr">
        <is>
          <t>WSTG-INJT-03</t>
        </is>
      </c>
      <c r="C76" s="15">
        <f>HYPERLINK("https://owasp.org/www-project-web-security-testing-guide/latest/4-Web_Application_Security_Testing/07-Injection/03-HTTP_Verb_Tampering", "HTTP Verb Tampering")</f>
        <v/>
      </c>
      <c r="D76" s="16" t="inlineStr">
        <is>
          <t>N/A</t>
        </is>
      </c>
      <c r="E76" s="18" t="inlineStr">
        <is>
          <t>Not Started</t>
        </is>
      </c>
      <c r="F76" s="18" t="n"/>
    </row>
    <row r="77" ht="49.5" customHeight="1" s="82">
      <c r="A77" s="19" t="n"/>
      <c r="B77" s="34" t="inlineStr">
        <is>
          <t>WSTG-INJT-04</t>
        </is>
      </c>
      <c r="C77" s="15">
        <f>HYPERLINK("https://owasp.org/www-project-web-security-testing-guide/latest/4-Web_Application_Security_Testing/07-Injection/04-HTTP_Parameter_Pollution", "HTTP Parameter Pollution")</f>
        <v/>
      </c>
      <c r="D77" s="16" t="inlineStr">
        <is>
          <t>- Identify the back end and the parsing method used.
- Assess injection points and try bypassing input filters using HPP.</t>
        </is>
      </c>
      <c r="E77" s="18" t="inlineStr">
        <is>
          <t>Not Started</t>
        </is>
      </c>
      <c r="F77" s="18" t="n"/>
    </row>
    <row r="78" ht="49.5" customHeight="1" s="82">
      <c r="A78" s="19" t="n"/>
      <c r="B78" s="34" t="inlineStr">
        <is>
          <t>WSTG-INJT-05</t>
        </is>
      </c>
      <c r="C78" s="15">
        <f>HYPERLINK("https://owasp.org/www-project-web-security-testing-guide/latest/4-Web_Application_Security_Testing/07-Injection/05-SQL_Injection", "SQL Injection")</f>
        <v/>
      </c>
      <c r="D78" s="16" t="inlineStr">
        <is>
          <t>- Identify SQL injection points.
- Assess the severity of the injection and the level of access that can be achieved through it.</t>
        </is>
      </c>
      <c r="E78" s="18" t="inlineStr">
        <is>
          <t>Not Started</t>
        </is>
      </c>
      <c r="F78" s="18" t="n"/>
    </row>
    <row r="79" ht="33" customHeight="1" s="82">
      <c r="A79" s="19" t="n"/>
      <c r="B79" s="34" t="inlineStr">
        <is>
          <t>WSTG-INJT-06</t>
        </is>
      </c>
      <c r="C79" s="15">
        <f>HYPERLINK("https://owasp.org/www-project-web-security-testing-guide/latest/4-Web_Application_Security_Testing/07-Injection/06-LDAP_Injection", "LDAP Injection")</f>
        <v/>
      </c>
      <c r="D79" s="16" t="inlineStr">
        <is>
          <t>- Identify LDAP injection points.
- Assess the severity of the injection.</t>
        </is>
      </c>
      <c r="E79" s="18" t="inlineStr">
        <is>
          <t>Not Started</t>
        </is>
      </c>
      <c r="F79" s="18" t="n"/>
    </row>
    <row r="80" ht="49.5" customHeight="1" s="82">
      <c r="A80" s="19" t="n"/>
      <c r="B80" s="34" t="inlineStr">
        <is>
          <t>WSTG-INJT-07</t>
        </is>
      </c>
      <c r="C80" s="15">
        <f>HYPERLINK("https://owasp.org/www-project-web-security-testing-guide/latest/4-Web_Application_Security_Testing/07-Injection/07-XML_Injection", "XML Injection")</f>
        <v/>
      </c>
      <c r="D80" s="16" t="inlineStr">
        <is>
          <t>- Identify XML injection points.
- Assess the types of exploits that can be attained and their severities.</t>
        </is>
      </c>
      <c r="E80" s="18" t="inlineStr">
        <is>
          <t>Not Started</t>
        </is>
      </c>
      <c r="F80" s="18" t="n"/>
    </row>
    <row r="81" ht="33" customHeight="1" s="82">
      <c r="A81" s="19" t="n"/>
      <c r="B81" s="34" t="inlineStr">
        <is>
          <t>WSTG-INJT-08</t>
        </is>
      </c>
      <c r="C81" s="15">
        <f>HYPERLINK("https://owasp.org/www-project-web-security-testing-guide/latest/4-Web_Application_Security_Testing/07-Injection/08-SSI_Injection", "SSI Injection")</f>
        <v/>
      </c>
      <c r="D81" s="16" t="inlineStr">
        <is>
          <t>- Identify SSI injection points.
- Assess the severity of the injection.</t>
        </is>
      </c>
      <c r="E81" s="18" t="inlineStr">
        <is>
          <t>Not Started</t>
        </is>
      </c>
      <c r="F81" s="18" t="n"/>
    </row>
    <row r="82" ht="16.5" customHeight="1" s="82">
      <c r="A82" s="19" t="n"/>
      <c r="B82" s="34" t="inlineStr">
        <is>
          <t>WSTG-INJT-09</t>
        </is>
      </c>
      <c r="C82" s="15">
        <f>HYPERLINK("https://owasp.org/www-project-web-security-testing-guide/latest/4-Web_Application_Security_Testing/07-Injection/09-XPath_Injection", "XPath Injection")</f>
        <v/>
      </c>
      <c r="D82" s="16" t="inlineStr">
        <is>
          <t>- Identify XPATH injection points.</t>
        </is>
      </c>
      <c r="E82" s="18" t="inlineStr">
        <is>
          <t>Not Started</t>
        </is>
      </c>
      <c r="F82" s="18" t="n"/>
    </row>
    <row r="83" ht="66" customHeight="1" s="82">
      <c r="A83" s="19" t="n"/>
      <c r="B83" s="34" t="inlineStr">
        <is>
          <t>WSTG-INJT-10</t>
        </is>
      </c>
      <c r="C83" s="15">
        <f>HYPERLINK("https://owasp.org/www-project-web-security-testing-guide/latest/4-Web_Application_Security_Testing/07-Injection/10-IMAP_SMTP_Injection", "IMAP SMTP Injection")</f>
        <v/>
      </c>
      <c r="D83" s="16" t="inlineStr">
        <is>
          <t>- Identify IMAP/SMTP injection points.
- Understand the data flow and deployment structure of the system.
- Assess the injection impacts.</t>
        </is>
      </c>
      <c r="E83" s="18" t="inlineStr">
        <is>
          <t>Not Started</t>
        </is>
      </c>
      <c r="F83" s="18" t="n"/>
    </row>
    <row r="84" ht="49.5" customHeight="1" s="82">
      <c r="A84" s="19" t="n"/>
      <c r="B84" s="34" t="inlineStr">
        <is>
          <t>WSTG-INJT-11</t>
        </is>
      </c>
      <c r="C84" s="15">
        <f>HYPERLINK("https://owasp.org/www-project-web-security-testing-guide/latest/4-Web_Application_Security_Testing/07-Injection/11-Code_Injection", "Code Injection")</f>
        <v/>
      </c>
      <c r="D84" s="16" t="inlineStr">
        <is>
          <t>- Identify injection points where you can inject code into the application.
- Assess the injection severity.</t>
        </is>
      </c>
      <c r="E84" s="18" t="inlineStr">
        <is>
          <t>Not Started</t>
        </is>
      </c>
      <c r="F84" s="18" t="n"/>
    </row>
    <row r="85" ht="33" customHeight="1" s="82">
      <c r="A85" s="19" t="n"/>
      <c r="B85" s="34" t="inlineStr">
        <is>
          <t>WSTG-INJT-12</t>
        </is>
      </c>
      <c r="C85" s="15">
        <f>HYPERLINK("https://owasp.org/www-project-web-security-testing-guide/latest/4-Web_Application_Security_Testing/07-Injection/12-Command_Injection", "Command Injection")</f>
        <v/>
      </c>
      <c r="D85" s="16" t="inlineStr">
        <is>
          <t>- Identify and assess command injection points.
- Bypass special characters and OS commands filter.</t>
        </is>
      </c>
      <c r="E85" s="18" t="inlineStr">
        <is>
          <t>Not Started</t>
        </is>
      </c>
      <c r="F85" s="18" t="n"/>
    </row>
    <row r="86" ht="49.5" customHeight="1" s="82">
      <c r="A86" s="19" t="n"/>
      <c r="B86" s="34" t="inlineStr">
        <is>
          <t>WSTG-INJT-13</t>
        </is>
      </c>
      <c r="C86" s="15">
        <f>HYPERLINK("https://owasp.org/www-project-web-security-testing-guide/latest/4-Web_Application_Security_Testing/07-Injection/13-Format_String_Injection", "Format String Injection")</f>
        <v/>
      </c>
      <c r="D86" s="16" t="inlineStr">
        <is>
          <t>- Assess whether injecting format string conversion specifiers into user-controlled fields causes undesired behavior from the application.</t>
        </is>
      </c>
      <c r="E86" s="18" t="inlineStr">
        <is>
          <t>Not Started</t>
        </is>
      </c>
      <c r="F86" s="18" t="n"/>
    </row>
    <row r="87" ht="66" customHeight="1" s="82">
      <c r="A87" s="19" t="n"/>
      <c r="B87" s="34" t="inlineStr">
        <is>
          <t>WSTG-INJT-14</t>
        </is>
      </c>
      <c r="C87" s="15">
        <f>HYPERLINK("https://owasp.org/www-project-web-security-testing-guide/latest/4-Web_Application_Security_Testing/07-Injection/14-Incubated_Vulnerability", "Incubated Vulnerability")</f>
        <v/>
      </c>
      <c r="D87" s="16" t="inlineStr">
        <is>
          <t>- Identify injections that are stored and require a recall step to the stored injection.
- Understand how a recall step could occur.
- Set listeners or activate the recall step if possible.</t>
        </is>
      </c>
      <c r="E87" s="18" t="inlineStr">
        <is>
          <t>Not Started</t>
        </is>
      </c>
      <c r="F87" s="18" t="n"/>
    </row>
    <row r="88" ht="115.5" customHeight="1" s="82">
      <c r="A88" s="19" t="n"/>
      <c r="B88" s="34" t="inlineStr">
        <is>
          <t>WSTG-INJT-15</t>
        </is>
      </c>
      <c r="C88" s="15">
        <f>HYPERLINK("https://owasp.org/www-project-web-security-testing-guide/latest/4-Web_Application_Security_Testing/07-Injection/15-HTTP_Response_Splitting", "HTTP Response Splitting")</f>
        <v/>
      </c>
      <c r="D88" s="16" t="inlineStr">
        <is>
          <t>- Identify user-controlled input that is reflected into HTTP response headers.
- Assess whether CR (`\r`) and LF (`\n`) characters can be injected into response headers.
- Determine the potential impact of successful HTTP Response Splitting attacks, such as cache poisoning or client-side exploitation.</t>
        </is>
      </c>
      <c r="E88" s="18" t="inlineStr">
        <is>
          <t>Not Started</t>
        </is>
      </c>
      <c r="F88" s="18" t="n"/>
    </row>
    <row r="89" ht="99" customHeight="1" s="82">
      <c r="A89" s="19" t="n"/>
      <c r="B89" s="34" t="inlineStr">
        <is>
          <t>WSTG-INJT-16</t>
        </is>
      </c>
      <c r="C89" s="15">
        <f>HYPERLINK("https://owasp.org/www-project-web-security-testing-guide/latest/4-Web_Application_Security_Testing/07-Injection/16-HTTP_Request_Smuggling", "HTTP Request Smuggling")</f>
        <v/>
      </c>
      <c r="D89" s="16" t="inlineStr">
        <is>
          <t>- Identify request boundary inconsistencies between frontend and backend components
- Detect classic CL/TE desynchronization vulnerabilities
- Evaluate protocol translation logic (HTTP/2 → HTTP/1.1)
- Assess H2C upgrade handling and downgrade safety
- Confirm backend request queue poisoning</t>
        </is>
      </c>
      <c r="E89" s="18" t="inlineStr">
        <is>
          <t>Not Started</t>
        </is>
      </c>
      <c r="F89" s="18" t="n"/>
    </row>
    <row r="90" ht="49.5" customHeight="1" s="82">
      <c r="A90" s="19" t="n"/>
      <c r="B90" s="34" t="inlineStr">
        <is>
          <t>WSTG-INJT-17</t>
        </is>
      </c>
      <c r="C90" s="15">
        <f>HYPERLINK("https://owasp.org/www-project-web-security-testing-guide/latest/4-Web_Application_Security_Testing/07-Injection/17-Host_Header_Injection", "Host Header Injection")</f>
        <v/>
      </c>
      <c r="D90" s="16" t="inlineStr">
        <is>
          <t>- Assess if the Host header is being parsed dynamically in the application.
- Bypass security controls that rely on the header.</t>
        </is>
      </c>
      <c r="E90" s="18" t="inlineStr">
        <is>
          <t>Not Started</t>
        </is>
      </c>
      <c r="F90" s="18" t="n"/>
    </row>
    <row r="91" ht="49.5" customHeight="1" s="82">
      <c r="A91" s="19" t="n"/>
      <c r="B91" s="34" t="inlineStr">
        <is>
          <t>WSTG-INJT-18</t>
        </is>
      </c>
      <c r="C91" s="15">
        <f>HYPERLINK("https://owasp.org/www-project-web-security-testing-guide/latest/4-Web_Application_Security_Testing/07-Injection/18-Server-side_Template_Injection", "Server-side Template Injection")</f>
        <v/>
      </c>
      <c r="D91" s="16" t="inlineStr">
        <is>
          <t>- Detect template injection vulnerability points.
- Identify the templating engine.
- Build the exploit.</t>
        </is>
      </c>
      <c r="E91" s="18" t="inlineStr">
        <is>
          <t>Not Started</t>
        </is>
      </c>
      <c r="F91" s="18" t="n"/>
    </row>
    <row r="92" ht="49.5" customHeight="1" s="82">
      <c r="A92" s="19" t="n"/>
      <c r="B92" s="34" t="inlineStr">
        <is>
          <t>WSTG-INJT-19</t>
        </is>
      </c>
      <c r="C92" s="15">
        <f>HYPERLINK("https://owasp.org/www-project-web-security-testing-guide/latest/4-Web_Application_Security_Testing/07-Injection/19-Server-Side_Request_Forgery", "Server-Side Request Forgery")</f>
        <v/>
      </c>
      <c r="D92" s="16" t="inlineStr">
        <is>
          <t>- Identify SSRF injection points.
- Test if the injection points are exploitable.
- Asses the severity of the vulnerability.</t>
        </is>
      </c>
      <c r="E92" s="18" t="inlineStr">
        <is>
          <t>Not Started</t>
        </is>
      </c>
      <c r="F92" s="18" t="n"/>
    </row>
    <row r="93" ht="49.5" customHeight="1" s="82">
      <c r="A93" s="19" t="n"/>
      <c r="B93" s="34" t="inlineStr">
        <is>
          <t>WSTG-INJT-20</t>
        </is>
      </c>
      <c r="C93" s="15">
        <f>HYPERLINK("https://owasp.org/www-project-web-security-testing-guide/latest/4-Web_Application_Security_Testing/07-Injection/20-Mass_Assignment", "Mass Assignment")</f>
        <v/>
      </c>
      <c r="D93" s="16" t="inlineStr">
        <is>
          <t>- Identify requests that modify objects
- Assess if it is possible to modify fields never intended to be modified from outside</t>
        </is>
      </c>
      <c r="E93" s="18" t="inlineStr">
        <is>
          <t>Not Started</t>
        </is>
      </c>
      <c r="F93" s="18" t="n"/>
    </row>
    <row r="94" ht="181.5" customHeight="1" s="82">
      <c r="A94" s="19" t="n"/>
      <c r="B94" s="34" t="inlineStr">
        <is>
          <t>WSTG-INJT-21</t>
        </is>
      </c>
      <c r="C94" s="15">
        <f>HYPERLINK("https://owasp.org/www-project-web-security-testing-guide/latest/4-Web_Application_Security_Testing/07-Injection/21-CSV_Injection", "CSV Injection")</f>
        <v/>
      </c>
      <c r="D94" s="16" t="inlineStr">
        <is>
          <t>- Identify CSV/spreadsheet export features that include untrusted input.
- Verify whether attacker-controlled values are interpreted as formulas when the export is opened in common spreadsheet applications.
- Check whether separator/quote injection can move a dangerous prefix to the start of a cell.
- Validate whether mitigations remain effective in Microsoft Excel after saving and re-opening the CSV.
- Assess practical impact based on who opens the export and how it is used.</t>
        </is>
      </c>
      <c r="E94" s="18" t="inlineStr">
        <is>
          <t>Not Started</t>
        </is>
      </c>
      <c r="F94" s="18" t="n"/>
    </row>
    <row r="95" ht="99" customHeight="1" s="82">
      <c r="A95" s="19" t="n"/>
      <c r="B95" s="34" t="inlineStr">
        <is>
          <t>WSTG-INJT-22</t>
        </is>
      </c>
      <c r="C95" s="15">
        <f>HYPERLINK("https://owasp.org/www-project-web-security-testing-guide/latest/4-Web_Application_Security_Testing/07-Injection/22-Prototype_Pollution", "Prototype Pollution")</f>
        <v/>
      </c>
      <c r="D95" s="16" t="inlineStr">
        <is>
          <t>- Identify functions and libraries that recursively merge, clone, or assign user-controlled properties.
- Determine whether user input can reach and modify `Object.prototype`.
- Identify gadgets that turn prototype pollution into a concrete impact.</t>
        </is>
      </c>
      <c r="E95" s="18" t="inlineStr">
        <is>
          <t>Not Started</t>
        </is>
      </c>
      <c r="F95" s="18" t="n"/>
    </row>
    <row r="96" ht="165" customHeight="1" s="82">
      <c r="A96" s="19" t="n"/>
      <c r="B96" s="34" t="inlineStr">
        <is>
          <t>WSTG-INJT-23</t>
        </is>
      </c>
      <c r="C96" s="15">
        <f>HYPERLINK("https://owasp.org/www-project-web-security-testing-guide/latest/4-Web_Application_Security_Testing/07-Injection/23-Insecure_Deserialization", "Insecure Deserialization")</f>
        <v/>
      </c>
      <c r="D96" s="16" t="inlineStr">
        <is>
          <t>- Identify entry points where the application accepts serialized objects from untrusted
- urces (for example, HTTP headers, parameters, or cookies).
- Determine the serialization format used by the application.
- Assess whether serialized input is validated or restricted prior to deserialization.
- Evaluate whether manipulation of serialized data leads to unsafe behavior or security
- pact.</t>
        </is>
      </c>
      <c r="E96" s="18" t="inlineStr">
        <is>
          <t>Not Started</t>
        </is>
      </c>
      <c r="F96" s="18" t="n"/>
    </row>
    <row r="97" ht="15" customHeight="1" s="82">
      <c r="A97" s="97" t="n"/>
      <c r="B97" s="98" t="n"/>
      <c r="C97" s="99" t="n"/>
      <c r="D97" s="99" t="n"/>
      <c r="E97" s="99" t="n"/>
      <c r="F97" s="99" t="n"/>
    </row>
    <row r="98" ht="47.25" customHeight="1" s="82">
      <c r="A98" s="9" t="n"/>
      <c r="B98" s="100" t="inlineStr">
        <is>
          <t>Error Handling</t>
        </is>
      </c>
      <c r="C98" s="101" t="inlineStr">
        <is>
          <t>Test Name</t>
        </is>
      </c>
      <c r="D98" s="101" t="inlineStr">
        <is>
          <t>Objectives</t>
        </is>
      </c>
      <c r="E98" s="101" t="inlineStr">
        <is>
          <t>Status</t>
        </is>
      </c>
      <c r="F98" s="101" t="inlineStr">
        <is>
          <t>Notes</t>
        </is>
      </c>
    </row>
    <row r="99" ht="33" customHeight="1" s="82">
      <c r="A99" s="19" t="n"/>
      <c r="B99" s="34" t="inlineStr">
        <is>
          <t>WSTG-ERRH-01</t>
        </is>
      </c>
      <c r="C99" s="15">
        <f>HYPERLINK("https://owasp.org/www-project-web-security-testing-guide/latest/4-Web_Application_Security_Testing/08-Error_Handling/01-Improper_Error_Handling", "Improper Error Handling")</f>
        <v/>
      </c>
      <c r="D99" s="16" t="inlineStr">
        <is>
          <t>- Identify existing error output.
- Analyze the different output returned.</t>
        </is>
      </c>
      <c r="E99" s="18" t="inlineStr">
        <is>
          <t>Not Started</t>
        </is>
      </c>
      <c r="F99" s="18" t="n"/>
    </row>
    <row r="100" ht="16.5" customHeight="1" s="82">
      <c r="A100" s="19" t="n"/>
      <c r="B100" s="34" t="inlineStr">
        <is>
          <t>WSTG-ERRH-02</t>
        </is>
      </c>
      <c r="C100" s="15">
        <f>HYPERLINK("https://owasp.org/www-project-web-security-testing-guide/latest/4-Web_Application_Security_Testing/08-Error_Handling/02-Stack_Traces",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Weak Cryptography</t>
        </is>
      </c>
      <c r="C102" s="101" t="inlineStr">
        <is>
          <t>Test Name</t>
        </is>
      </c>
      <c r="D102" s="101" t="inlineStr">
        <is>
          <t>Objectives</t>
        </is>
      </c>
      <c r="E102" s="101" t="inlineStr">
        <is>
          <t>Status</t>
        </is>
      </c>
      <c r="F102" s="101" t="inlineStr">
        <is>
          <t>Notes</t>
        </is>
      </c>
    </row>
    <row r="103" ht="82.5" customHeight="1" s="82">
      <c r="A103" s="19" t="n"/>
      <c r="B103" s="34" t="inlineStr">
        <is>
          <t>WSTG-CRYP-01</t>
        </is>
      </c>
      <c r="C103" s="15">
        <f>HYPERLINK("https://owasp.org/www-project-web-security-testing-guide/latest/4-Web_Application_Security_Testing/09-Weak_Cryptography/01-Weak_Transport_Layer_Security", "Weak Transport Layer Security")</f>
        <v/>
      </c>
      <c r="D103" s="16" t="inlineStr">
        <is>
          <t>- Validate the service configuration.
- Review the digital certificate's cryptographic strength and validity.
- Ensure that the TLS security is not bypassable and is properly implemented across the application.</t>
        </is>
      </c>
      <c r="E103" s="18" t="inlineStr">
        <is>
          <t>Not Started</t>
        </is>
      </c>
      <c r="F103" s="18" t="n"/>
    </row>
    <row r="104" ht="49.5" customHeight="1" s="82">
      <c r="A104" s="19" t="n"/>
      <c r="B104" s="34" t="inlineStr">
        <is>
          <t>WSTG-CRYP-02</t>
        </is>
      </c>
      <c r="C104" s="15">
        <f>HYPERLINK("https://owasp.org/www-project-web-security-testing-guide/latest/4-Web_Application_Security_Testing/09-Weak_Cryptography/02-Padding_Oracle", "Padding Oracle")</f>
        <v/>
      </c>
      <c r="D104" s="16" t="inlineStr">
        <is>
          <t>- Identify encrypted messages that rely on padding.
- Attempt to break the padding of the encrypted messages and analyze the returned error messages for further analysis.</t>
        </is>
      </c>
      <c r="E104" s="18" t="inlineStr">
        <is>
          <t>Not Started</t>
        </is>
      </c>
      <c r="F104" s="18" t="n"/>
    </row>
    <row r="105" ht="49.5" customHeight="1" s="82">
      <c r="A105" s="19" t="n"/>
      <c r="B105" s="34" t="inlineStr">
        <is>
          <t>WSTG-CRYP-03</t>
        </is>
      </c>
      <c r="C105" s="15">
        <f>HYPERLINK("https://owasp.org/www-project-web-security-testing-guide/latest/4-Web_Application_Security_Testing/09-Weak_Cryptography/03-Sensitive_Information_Sent_via_Unencrypted_Channels", "Sensitive Information Sent via Unencrypted Channels")</f>
        <v/>
      </c>
      <c r="D105" s="16" t="inlineStr">
        <is>
          <t>- Identify sensitive information transmitted through the various channels.
- Assess the privacy and security of the channels used.</t>
        </is>
      </c>
      <c r="E105" s="18" t="inlineStr">
        <is>
          <t>Not Started</t>
        </is>
      </c>
      <c r="F105" s="18" t="n"/>
    </row>
    <row r="106" ht="33" customHeight="1" s="82">
      <c r="A106" s="19" t="n"/>
      <c r="B106" s="34" t="inlineStr">
        <is>
          <t>WSTG-CRYP-04</t>
        </is>
      </c>
      <c r="C106" s="15">
        <f>HYPERLINK("https://owasp.org/www-project-web-security-testing-guide/latest/4-Web_Application_Security_Testing/09-Weak_Cryptography/04-Weak_Cryptographic_Primitives", "Weak Cryptographic Primitives")</f>
        <v/>
      </c>
      <c r="D106" s="16" t="inlineStr">
        <is>
          <t>- Provide a guideline for the identification weak encryption or hashing uses and implementations.</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t>
        </is>
      </c>
      <c r="C108" s="101" t="inlineStr">
        <is>
          <t>Test Name</t>
        </is>
      </c>
      <c r="D108" s="101" t="inlineStr">
        <is>
          <t>Objectives</t>
        </is>
      </c>
      <c r="E108" s="101" t="inlineStr">
        <is>
          <t>Status</t>
        </is>
      </c>
      <c r="F108" s="101" t="inlineStr">
        <is>
          <t>Notes</t>
        </is>
      </c>
    </row>
    <row r="109" ht="132" customHeight="1" s="82">
      <c r="A109" s="19" t="n"/>
      <c r="B109" s="34" t="inlineStr">
        <is>
          <t>WSTG-BUSL-01</t>
        </is>
      </c>
      <c r="C109" s="15">
        <f>HYPERLINK("https://owasp.org/www-project-web-security-testing-guide/latest/4-Web_Application_Security_Testing/10-Business_Logic/01-Business_Logic_Data_Validation", "Business Logic Data Validation")</f>
        <v/>
      </c>
      <c r="D109" s="16" t="inlineStr">
        <is>
          <t>- Identify data injection points.
- Validate that all checks are occurring on the backend and can't be bypassed.
- Attempt to break the format of the expected data and analyze how the application is handling it.
- Determine whether parameters that the frontend restricts (type, range, set of allowed values, or relationship to other fields) are restricted again on the server.</t>
        </is>
      </c>
      <c r="E109" s="18" t="inlineStr">
        <is>
          <t>Not Started</t>
        </is>
      </c>
      <c r="F109" s="18" t="n"/>
    </row>
    <row r="110" ht="66" customHeight="1" s="82">
      <c r="A110" s="19" t="n"/>
      <c r="B110" s="34" t="inlineStr">
        <is>
          <t>WSTG-BUSL-02</t>
        </is>
      </c>
      <c r="C110" s="15">
        <f>HYPERLINK("https://owasp.org/www-project-web-security-testing-guide/latest/4-Web_Application_Security_Testing/10-Business_Logic/02-Ability_to_Forge_Requests", "Ability to Forge Requests")</f>
        <v/>
      </c>
      <c r="D110" s="16" t="inlineStr">
        <is>
          <t>- Review the project documentation looking for guessable, predictable, or hidden functionality of fields.
- Insert logically valid data in order to bypass normal business logic workflow.</t>
        </is>
      </c>
      <c r="E110" s="18" t="inlineStr">
        <is>
          <t>Not Started</t>
        </is>
      </c>
      <c r="F110" s="18" t="n"/>
    </row>
    <row r="111" ht="148.5" customHeight="1" s="82">
      <c r="A111" s="19" t="n"/>
      <c r="B111" s="34" t="inlineStr">
        <is>
          <t>WSTG-BUSL-03</t>
        </is>
      </c>
      <c r="C111" s="15">
        <f>HYPERLINK("https://owasp.org/www-project-web-security-testing-guide/latest/4-Web_Application_Security_Testing/10-Business_Logic/03-Integrity_Checks", "Integrity Checks")</f>
        <v/>
      </c>
      <c r="D111" s="16" t="inlineStr">
        <is>
          <t>- Review the project documentation for components of the system that move, store, or handle data.
- Determine what type of data is logically acceptable by the component and what types the system should guard against.
- Determine who should be allowed to modify or read that data in each component.
- Attempt to insert, update, or delete data values used by each component that should not be allowed per the business logic workflow.</t>
        </is>
      </c>
      <c r="E111" s="18" t="inlineStr">
        <is>
          <t>Not Started</t>
        </is>
      </c>
      <c r="F111" s="18" t="n"/>
    </row>
    <row r="112" ht="49.5" customHeight="1" s="82">
      <c r="A112" s="19" t="n"/>
      <c r="B112" s="34" t="inlineStr">
        <is>
          <t>WSTG-BUSL-04</t>
        </is>
      </c>
      <c r="C112" s="15">
        <f>HYPERLINK("https://owasp.org/www-project-web-security-testing-guide/latest/4-Web_Application_Security_Testing/10-Business_Logic/04-Process_Timing", "Process Timing")</f>
        <v/>
      </c>
      <c r="D112" s="16" t="inlineStr">
        <is>
          <t>- Review the project documentation for system functionality that may be impacted by time.
- Develop and execute misuse cases.</t>
        </is>
      </c>
      <c r="E112" s="18" t="inlineStr">
        <is>
          <t>Not Started</t>
        </is>
      </c>
      <c r="F112" s="18" t="n"/>
    </row>
    <row r="113" ht="66" customHeight="1" s="82">
      <c r="A113" s="19" t="n"/>
      <c r="B113" s="34" t="inlineStr">
        <is>
          <t>WSTG-BUSL-05</t>
        </is>
      </c>
      <c r="C113" s="15">
        <f>HYPERLINK("https://owasp.org/www-project-web-security-testing-guide/latest/4-Web_Application_Security_Testing/10-Business_Logic/05-Number_of_Times_a_Function_Can_Be_Used_Limits", "Number of Times a Function Can Be Used Limits")</f>
        <v/>
      </c>
      <c r="D113" s="16" t="inlineStr">
        <is>
          <t>- Identify functions that must set limits to the times they can be called.
- Assess if there is a logical limit set on the functions and if it is properly validated.</t>
        </is>
      </c>
      <c r="E113" s="18" t="inlineStr">
        <is>
          <t>Not Started</t>
        </is>
      </c>
      <c r="F113" s="18" t="n"/>
    </row>
    <row r="114" ht="82.5" customHeight="1" s="82">
      <c r="A114" s="19" t="n"/>
      <c r="B114" s="34" t="inlineStr">
        <is>
          <t>WSTG-BUSL-06</t>
        </is>
      </c>
      <c r="C114" s="15">
        <f>HYPERLINK("https://owasp.org/www-project-web-security-testing-guide/latest/4-Web_Application_Security_Testing/10-Business_Logic/06-Circumvention_of_Work_Flows", "Circumvention of Work Flows")</f>
        <v/>
      </c>
      <c r="D114" s="16" t="inlineStr">
        <is>
          <t>- Review the project documentation for methods to skip or go through steps in the application process in a different order from the intended business logic flow.
- Develop a misuse case and try to circumvent every logic flow identified.</t>
        </is>
      </c>
      <c r="E114" s="18" t="inlineStr">
        <is>
          <t>Not Started</t>
        </is>
      </c>
      <c r="F114" s="18" t="n"/>
    </row>
    <row r="115" ht="99" customHeight="1" s="82">
      <c r="A115" s="19" t="n"/>
      <c r="B115" s="34" t="inlineStr">
        <is>
          <t>WSTG-BUSL-07</t>
        </is>
      </c>
      <c r="C115" s="15">
        <f>HYPERLINK("https://owasp.org/www-project-web-security-testing-guide/latest/4-Web_Application_Security_Testing/10-Business_Logic/07-Defenses_Against_Application_Misuse", "Defenses Against Application Misuse")</f>
        <v/>
      </c>
      <c r="D115" s="16" t="inlineStr">
        <is>
          <t>- Generate notes from all tests conducted against the system.
- Review which tests had a different functionality based on aggressive input.
- Understand the defenses in place and verify if they are enough to protect the system against bypassing techniques.</t>
        </is>
      </c>
      <c r="E115" s="18" t="inlineStr">
        <is>
          <t>Not Started</t>
        </is>
      </c>
      <c r="F115" s="18" t="n"/>
    </row>
    <row r="116" ht="99" customHeight="1" s="82">
      <c r="A116" s="19" t="n"/>
      <c r="B116" s="34" t="inlineStr">
        <is>
          <t>WSTG-BUSL-08</t>
        </is>
      </c>
      <c r="C116" s="15">
        <f>HYPERLINK("https://owasp.org/www-project-web-security-testing-guide/latest/4-Web_Application_Security_Testing/10-Business_Logic/08-Upload_of_Unexpected_File_Types", "Upload of Unexpected File Types")</f>
        <v/>
      </c>
      <c r="D116" s="16" t="inlineStr">
        <is>
          <t>- Review the project documentation for file types that are rejected by the system.
- Verify that the unwelcomed file types are rejected and handled safely.
- Verify that file batch uploads are secure and do not allow any bypass against the set security measures.</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HYPERLINK("https://owasp.org/www-project-web-security-testing-guide/latest/4-Web_Application_Security_Testing/10-Business_Logic/09-Upload_of_Malicious_Files", "Upload of Malicious Files")</f>
        <v/>
      </c>
      <c r="D117" s="16" t="inlineStr">
        <is>
          <t>- Identify the file upload functionality.
- Review the project documentation to identify what file types are considered acceptable, and what types would be considered dangerous or malicious.
- If documentation is not available then consider what would be appropriate based on the purpose of the application.
- Determine how the uploaded files are processed.
- Obtain or create a set of malicious files for testing.
- Try to upload the malicious files to the application and determine whether it is accepted and processed.</t>
        </is>
      </c>
      <c r="E117" s="18" t="inlineStr">
        <is>
          <t>Not Started</t>
        </is>
      </c>
      <c r="F117" s="18" t="n"/>
    </row>
    <row r="118" ht="66" customHeight="1" s="82">
      <c r="A118" s="19" t="n"/>
      <c r="B118" s="34" t="inlineStr">
        <is>
          <t>WSTG-BUSL-10</t>
        </is>
      </c>
      <c r="C118" s="15">
        <f>HYPERLINK("https://owasp.org/www-project-web-security-testing-guide/latest/4-Web_Application_Security_Testing/10-Business_Logic/10-Payment_Functionality", "Payment Functionality")</f>
        <v/>
      </c>
      <c r="D118" s="16" t="inlineStr">
        <is>
          <t>- Determine whether the business logic for the e-commerce functionality is robust.
- Understand how the payment functionality works.
- Determine whether the payment functionality is secure.</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HYPERLINK("https://owasp.org/www-project-web-security-testing-guide/latest/4-Web_Application_Security_Testing/11-Client-side/01-DOM-based_Cross_Site_Scripting", "DOM-Based Cross Site Scripting")</f>
        <v/>
      </c>
      <c r="D121" s="16" t="inlineStr">
        <is>
          <t>- Identify DOM sinks.
- Build payloads that pertain to every sink type.</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HYPERLINK("https://owasp.org/www-project-web-security-testing-guide/latest/4-Web_Application_Security_Testing/11-Client-side/02-JavaScript_Execution", "JavaScript Execution")</f>
        <v/>
      </c>
      <c r="D122" s="16" t="inlineStr">
        <is>
          <t>- Identify sinks and possible JavaScript injection points.</t>
        </is>
      </c>
      <c r="E122" s="18" t="inlineStr">
        <is>
          <t>Not Started</t>
        </is>
      </c>
      <c r="F122" s="18" t="n"/>
    </row>
    <row r="123" ht="33" customHeight="1" s="82">
      <c r="A123" s="19" t="n"/>
      <c r="B123" s="34" t="inlineStr">
        <is>
          <t>WSTG-CLNT-03</t>
        </is>
      </c>
      <c r="C123" s="15">
        <f>HYPERLINK("https://owasp.org/www-project-web-security-testing-guide/latest/4-Web_Application_Security_Testing/11-Client-side/03-HTML_Injection", "HTML Injection")</f>
        <v/>
      </c>
      <c r="D123" s="16" t="inlineStr">
        <is>
          <t>- Identify HTML injection points and assess the severity of the injected content.</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HYPERLINK("https://owasp.org/www-project-web-security-testing-guide/latest/4-Web_Application_Security_Testing/11-Client-side/04-Client-side_URL_Redirect", "Client-side URL Redirect")</f>
        <v/>
      </c>
      <c r="D124" s="16" t="inlineStr">
        <is>
          <t>- Identify injection points that handle URLs or paths.
- Assess the locations that the system could redirect to.</t>
        </is>
      </c>
      <c r="E124" s="18" t="inlineStr">
        <is>
          <t>Not Started</t>
        </is>
      </c>
      <c r="F124" s="18" t="n"/>
    </row>
    <row r="125" ht="33" customHeight="1" s="82">
      <c r="A125" s="19" t="n"/>
      <c r="B125" s="34" t="inlineStr">
        <is>
          <t>WSTG-CLNT-05</t>
        </is>
      </c>
      <c r="C125" s="15">
        <f>HYPERLINK("https://owasp.org/www-project-web-security-testing-guide/latest/4-Web_Application_Security_Testing/11-Client-side/05-CSS_Injection", "CSS Injection")</f>
        <v/>
      </c>
      <c r="D125" s="16" t="inlineStr">
        <is>
          <t>- Identify CSS injection points.
- Assess the impact of the injection.</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HYPERLINK("https://owasp.org/www-project-web-security-testing-guide/latest/4-Web_Application_Security_Testing/11-Client-side/06-Client-side_Resource_Manipulation", "Client-side Resource Manipulation")</f>
        <v/>
      </c>
      <c r="D126" s="16" t="inlineStr">
        <is>
          <t>- Identify sinks with weak input validation.
- Assess the impact of the resource manipulation.</t>
        </is>
      </c>
      <c r="E126" s="18" t="inlineStr">
        <is>
          <t>Not Started</t>
        </is>
      </c>
      <c r="F126" s="18" t="n"/>
    </row>
    <row r="127" ht="33" customHeight="1" s="82">
      <c r="A127" s="19" t="n"/>
      <c r="B127" s="34" t="inlineStr">
        <is>
          <t>WSTG-CLNT-07</t>
        </is>
      </c>
      <c r="C127" s="15">
        <f>HYPERLINK("https://owasp.org/www-project-web-security-testing-guide/latest/4-Web_Application_Security_Testing/11-Client-side/07-Cross_Origin_Resource_Sharing", "Cross Origin Resource Sharing")</f>
        <v/>
      </c>
      <c r="D127" s="16" t="inlineStr">
        <is>
          <t>- Identify endpoints that implement CORS.
- Ensure that the CORS configuration is secure or harmless.</t>
        </is>
      </c>
      <c r="E127" s="18" t="inlineStr">
        <is>
          <t>Not Started</t>
        </is>
      </c>
      <c r="F127" s="18" t="n"/>
    </row>
    <row r="128" ht="16.5" customHeight="1" s="82">
      <c r="A128" s="19" t="n"/>
      <c r="B128" s="34" t="inlineStr">
        <is>
          <t>WSTG-CLNT-09</t>
        </is>
      </c>
      <c r="C128" s="15">
        <f>HYPERLINK("https://owasp.org/www-project-web-security-testing-guide/latest/4-Web_Application_Security_Testing/11-Client-side/09-Clickjacking", "Clickjacking")</f>
        <v/>
      </c>
      <c r="D128" s="16" t="inlineStr">
        <is>
          <t>- Assess application vulnerability to clickjacking attacks.</t>
        </is>
      </c>
      <c r="E128" s="18" t="inlineStr">
        <is>
          <t>Not Started</t>
        </is>
      </c>
      <c r="F128" s="18" t="n"/>
    </row>
    <row r="129" ht="49.5" customHeight="1" s="82">
      <c r="A129" s="19" t="n"/>
      <c r="B129" s="34" t="inlineStr">
        <is>
          <t>WSTG-CLNT-10</t>
        </is>
      </c>
      <c r="C129" s="15">
        <f>HYPERLINK("https://owasp.org/www-project-web-security-testing-guide/latest/4-Web_Application_Security_Testing/11-Client-side/10-WebSockets", "WebSockets")</f>
        <v/>
      </c>
      <c r="D129" s="16" t="inlineStr">
        <is>
          <t>- Identify the usage of WebSockets.
- Assess its implementation by using the same tests on normal HTTP channels.</t>
        </is>
      </c>
      <c r="E129" s="18" t="inlineStr">
        <is>
          <t>Not Started</t>
        </is>
      </c>
      <c r="F129" s="18" t="n"/>
    </row>
    <row r="130" ht="49.5" customHeight="1" s="82">
      <c r="A130" s="19" t="n"/>
      <c r="B130" s="34" t="inlineStr">
        <is>
          <t>WSTG-CLNT-11</t>
        </is>
      </c>
      <c r="C130" s="15">
        <f>HYPERLINK("https://owasp.org/www-project-web-security-testing-guide/latest/4-Web_Application_Security_Testing/11-Client-side/11-Web_Messaging", "Web Messaging")</f>
        <v/>
      </c>
      <c r="D130" s="16" t="inlineStr">
        <is>
          <t>- Assess the security of the message's origin.
- Validate that it's using safe methods and validating its input.</t>
        </is>
      </c>
      <c r="E130" s="18" t="inlineStr">
        <is>
          <t>Not Started</t>
        </is>
      </c>
      <c r="F130" s="18" t="n"/>
    </row>
    <row r="131" ht="82.5" customHeight="1" s="82">
      <c r="A131" s="19" t="n"/>
      <c r="B131" s="34" t="inlineStr">
        <is>
          <t>WSTG-CLNT-12</t>
        </is>
      </c>
      <c r="C131" s="15">
        <f>HYPERLINK("https://owasp.org/www-project-web-security-testing-guide/latest/4-Web_Application_Security_Testing/11-Client-side/12-Browser_Storage", "Browser Storage")</f>
        <v/>
      </c>
      <c r="D131" s="16" t="inlineStr">
        <is>
          <t>- Determine whether the site is storing sensitive data in client-side storage.
- The code handling of the storage objects should be examined for possibilities of injection attacks, such as utilizing unvalidated input or vulnerable libraries.</t>
        </is>
      </c>
      <c r="E131" s="18" t="inlineStr">
        <is>
          <t>Not Started</t>
        </is>
      </c>
      <c r="F131" s="18" t="n"/>
    </row>
    <row r="132" ht="49.5" customHeight="1" s="82">
      <c r="A132" s="19" t="n"/>
      <c r="B132" s="34" t="inlineStr">
        <is>
          <t>WSTG-CLNT-13</t>
        </is>
      </c>
      <c r="C132" s="15">
        <f>HYPERLINK("https://owasp.org/www-project-web-security-testing-guide/latest/4-Web_Application_Security_Testing/11-Client-side/13-Cross_Site_Script_Inclusion", "Cross Site Script Inclusion")</f>
        <v/>
      </c>
      <c r="D132" s="16" t="inlineStr">
        <is>
          <t>- Locate sensitive data across the system.
- Assess the leakage of sensitive data through various techniques.</t>
        </is>
      </c>
      <c r="E132" s="18" t="inlineStr">
        <is>
          <t>Not Started</t>
        </is>
      </c>
      <c r="F132" s="18" t="n"/>
    </row>
    <row r="133" ht="16.5" customHeight="1" s="82">
      <c r="A133" s="19" t="n"/>
      <c r="B133" s="34" t="inlineStr">
        <is>
          <t>WSTG-CLNT-14</t>
        </is>
      </c>
      <c r="C133" s="15">
        <f>HYPERLINK("https://owasp.org/www-project-web-security-testing-guide/latest/4-Web_Application_Security_Testing/11-Client-side/14-Reverse_Tabnabbing", "Reverse Tabnabbing")</f>
        <v/>
      </c>
      <c r="D133" s="16" t="inlineStr">
        <is>
          <t>N/A</t>
        </is>
      </c>
      <c r="E133" s="18" t="inlineStr">
        <is>
          <t>Not Started</t>
        </is>
      </c>
      <c r="F133" s="18" t="n"/>
    </row>
    <row r="134" ht="99" customHeight="1" s="82">
      <c r="A134" s="19" t="n"/>
      <c r="B134" s="34" t="inlineStr">
        <is>
          <t>WSTG-CLNT-15</t>
        </is>
      </c>
      <c r="C134" s="15">
        <f>HYPERLINK("https://owasp.org/www-project-web-security-testing-guide/latest/4-Web_Application_Security_Testing/11-Client-side/15-Client-Side_Template_Injection", "Client-side Template Injection")</f>
        <v/>
      </c>
      <c r="D134" s="16" t="inlineStr">
        <is>
          <t>- Identify the client-side framework and its version used by the application.
- Detect injection points where user input is reflected into the DOM and processed by the template engine.
- Assess if the injection allows for arbitrary JavaScript execution (XSS) via the template syntax.</t>
        </is>
      </c>
      <c r="E134" s="18" t="inlineStr">
        <is>
          <t>Not Started</t>
        </is>
      </c>
      <c r="F134" s="18" t="n"/>
    </row>
    <row r="135" ht="15" customHeight="1" s="82">
      <c r="A135" s="97" t="n"/>
      <c r="B135" s="98" t="n"/>
      <c r="C135" s="99" t="n"/>
      <c r="D135" s="99" t="n"/>
      <c r="E135" s="99" t="n"/>
      <c r="F135" s="99" t="n"/>
    </row>
    <row r="136" ht="47.25" customHeight="1" s="82">
      <c r="A136" s="9" t="n"/>
      <c r="B136" s="100" t="inlineStr">
        <is>
          <t>API Testing</t>
        </is>
      </c>
      <c r="C136" s="101" t="inlineStr">
        <is>
          <t>Test Name</t>
        </is>
      </c>
      <c r="D136" s="101" t="inlineStr">
        <is>
          <t>Objectives</t>
        </is>
      </c>
      <c r="E136" s="101" t="inlineStr">
        <is>
          <t>Status</t>
        </is>
      </c>
      <c r="F136" s="101" t="inlineStr">
        <is>
          <t>Notes</t>
        </is>
      </c>
    </row>
    <row r="137" ht="99" customHeight="1" s="82">
      <c r="A137" s="19" t="n"/>
      <c r="B137" s="34" t="inlineStr">
        <is>
          <t>WSTG-APIT-01</t>
        </is>
      </c>
      <c r="C137" s="15">
        <f>HYPERLINK("https://owasp.org/www-project-web-security-testing-guide/latest/4-Web_Application_Security_Testing/12-API_Testing/01-API_Reconnaissance", "API Reconnaissance")</f>
        <v/>
      </c>
      <c r="D137" s="16" t="inlineStr">
        <is>
          <t>- Find all API endpoints supported by the backend server code, documented or undocumented.
- Find all parameters for each endpoint supported by the backend server, documented or undocumented.
- Discover interesting data related to APIs in HTML and JavaScript sent to clients.</t>
        </is>
      </c>
      <c r="E137" s="18" t="inlineStr">
        <is>
          <t>Not Started</t>
        </is>
      </c>
      <c r="F137" s="18" t="n"/>
    </row>
    <row r="138" ht="66" customHeight="1" s="82">
      <c r="A138" s="19" t="n"/>
      <c r="B138" s="34" t="inlineStr">
        <is>
          <t>WSTG-APIT-02</t>
        </is>
      </c>
      <c r="C138" s="15">
        <f>HYPERLINK("https://owasp.org/www-project-web-security-testing-guide/latest/4-Web_Application_Security_Testing/12-API_Testing/02-API_Broken_Object_Level_Authorization", "API Broken Object Level Authorization")</f>
        <v/>
      </c>
      <c r="D138" s="16" t="inlineStr">
        <is>
          <t>- The objective of this test is to identify whether the API enforces proper **object-level authorization** checks, ensuring that users can only access and manipulate objects they are authorized to interact with.</t>
        </is>
      </c>
      <c r="E138" s="18" t="inlineStr">
        <is>
          <t>Not Started</t>
        </is>
      </c>
      <c r="F138" s="18" t="n"/>
    </row>
    <row r="139" ht="132" customHeight="1" s="82">
      <c r="A139" s="19" t="n"/>
      <c r="B139" s="34" t="inlineStr">
        <is>
          <t>WSTG-APIT-03</t>
        </is>
      </c>
      <c r="C139" s="15">
        <f>HYPERLINK("https://owasp.org/www-project-web-security-testing-guide/latest/4-Web_Application_Security_Testing/12-API_Testing/03-Excessive_Data_Exposure", "Excessive Data Exposure")</f>
        <v/>
      </c>
      <c r="D139" s="16" t="inlineStr">
        <is>
          <t>- Identify API responses that contain more data than what the client application displays or requires.
- Detect sensitive fields returned in API responses such as password hashes, authentication tokens, internal object IDs, PII, or infrastructure details.
- Determine whether the API relies on client-side filtering rather than server-side field selection to control data exposure.</t>
        </is>
      </c>
      <c r="E139" s="18" t="inlineStr">
        <is>
          <t>Not Started</t>
        </is>
      </c>
      <c r="F139" s="18" t="n"/>
    </row>
    <row r="140" ht="82.5" customHeight="1" s="82">
      <c r="A140" s="19" t="n"/>
      <c r="B140" s="34" t="inlineStr">
        <is>
          <t>WSTG-APIT-04</t>
        </is>
      </c>
      <c r="C140" s="15">
        <f>HYPERLINK("https://owasp.org/www-project-web-security-testing-guide/latest/4-Web_Application_Security_Testing/12-API_Testing/04-API_Broken_Function_Level_Authorization", "API Broken Function Level Authorization")</f>
        <v/>
      </c>
      <c r="D140" s="16" t="inlineStr">
        <is>
          <t>- The goal of this test is to determine if the API enforces **role or privilege-based access control** to restrict users from accessing or executing functions they are not authorized to use. This ensures that function-level security boundaries are properly enforced.</t>
        </is>
      </c>
      <c r="E140" s="18" t="inlineStr">
        <is>
          <t>Not Started</t>
        </is>
      </c>
      <c r="F140" s="18" t="n"/>
    </row>
    <row r="141" ht="66" customHeight="1" s="82">
      <c r="A141" s="19" t="n"/>
      <c r="B141" s="34" t="inlineStr">
        <is>
          <t>WSTG-APIT-99</t>
        </is>
      </c>
      <c r="C141" s="15">
        <f>HYPERLINK("https://owasp.org/www-project-web-security-testing-guide/latest/4-Web_Application_Security_Testing/12-API_Testing/99-GraphQL", "GraphQL")</f>
        <v/>
      </c>
      <c r="D141" s="16" t="inlineStr">
        <is>
          <t>- Assess that a secure and production-ready configuration is deployed.
- Validate all input fields against generic attacks.
- Ensure that proper access controls are applied.</t>
        </is>
      </c>
      <c r="E141" s="18" t="inlineStr">
        <is>
          <t>Not Started</t>
        </is>
      </c>
      <c r="F141" s="18" t="n"/>
    </row>
    <row r="142" ht="15" customHeight="1" s="82">
      <c r="A142" s="97" t="n"/>
      <c r="B142" s="98" t="n"/>
      <c r="C142" s="99" t="n"/>
      <c r="D142" s="99" t="n"/>
      <c r="E142" s="99" t="n"/>
      <c r="F142" s="99" t="n"/>
    </row>
    <row r="143" ht="47.25" customHeight="1" s="82">
      <c r="A143" s="9" t="n"/>
      <c r="B143" s="100" t="inlineStr">
        <is>
          <t>WebAssembly Testing</t>
        </is>
      </c>
      <c r="C143" s="101" t="inlineStr">
        <is>
          <t>Test Name</t>
        </is>
      </c>
      <c r="D143" s="101" t="inlineStr">
        <is>
          <t>Objectives</t>
        </is>
      </c>
      <c r="E143" s="101" t="inlineStr">
        <is>
          <t>Status</t>
        </is>
      </c>
      <c r="F143" s="101" t="inlineStr">
        <is>
          <t>Notes</t>
        </is>
      </c>
    </row>
    <row r="144" ht="198" customHeight="1" s="82">
      <c r="A144" s="19" t="n"/>
      <c r="B144" s="34" t="inlineStr">
        <is>
          <t>WSTG-WASM-01</t>
        </is>
      </c>
      <c r="C144" s="15">
        <f>HYPERLINK("https://owasp.org/www-project-web-security-testing-guide/latest/4-Web_Application_Security_Testing/13-WebAssembly_Testing/01-WebAssembly_Reconnaissance", "WebAssembly Reconnaissance")</f>
        <v/>
      </c>
      <c r="D144" s="16" t="inlineStr">
        <is>
          <t>- Find all WebAssembly modules loaded by the target application, including those not named `.wasm`, compressed, lazy-loaded, loaded through `fetch`, and manual instantiation, or embedded in JavaScript.
- Identify the compiler toolchain and source language (e.g., C/C++, Rust, Go, .NET) from section metadata, imports, exports, and glue code.
- Detect exposed debugging artifacts: source maps, DWARF information, and the `name` custom section.
- Map the infrastructure attack surface by extracting embedded URLs, API endpoints, and internal hostnames or IP addresses.</t>
        </is>
      </c>
      <c r="E144" s="18" t="inlineStr">
        <is>
          <t>Not Started</t>
        </is>
      </c>
      <c r="F144" s="18" t="n"/>
    </row>
    <row r="145" ht="15" customHeight="1" s="82">
      <c r="A145" s="97" t="n"/>
      <c r="B145" s="98" t="n"/>
      <c r="C145" s="99" t="n"/>
      <c r="D145" s="99" t="n"/>
      <c r="E145" s="99" t="n"/>
      <c r="F145"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5">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7 E138 E139 E140 E141 E144"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2026-10-15T11:02:52Z</dcterms:created>
  <dcterms:modified xsi:type="dcterms:W3CDTF">2026-10-15T11:02:53Z</dcterms:modified>
  <cp:lastModifiedBy>Rejah Rehim</cp:lastModifiedBy>
</cp:coreProperties>
</file>