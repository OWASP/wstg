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2"/>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t>
        </is>
      </c>
      <c r="C17" s="101" t="inlineStr">
        <is>
          <t>Test Name</t>
        </is>
      </c>
      <c r="D17" s="101" t="inlineStr">
        <is>
          <t>Objectives</t>
        </is>
      </c>
      <c r="E17" s="101" t="inlineStr">
        <is>
          <t>Status</t>
        </is>
      </c>
      <c r="F17" s="101" t="inlineStr">
        <is>
          <t>Notes</t>
        </is>
      </c>
    </row>
    <row r="18" ht="165" customHeight="1" s="82">
      <c r="A18" s="19" t="n"/>
      <c r="B18" s="34" t="inlineStr">
        <is>
          <t>WSTG-CONF-01</t>
        </is>
      </c>
      <c r="C18" s="15">
        <f>HYPERLINK("https://owasp.org/www-project-web-security-testing-guide/latest/4-Web_Application_Security_Testing/02-Configuration_and_Deployment_Management/01-Network_Infrastructure_Configuration",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
- Where the infrastructure is cloud-hosted or containerized, review network isolation controls (security groups/NSGs, VPC/subnet layout, load balancer/CDN configuration, service mesh policies, Kubernetes `NetworkPolicy`) for unintended exposure or overly permissive rules.</t>
        </is>
      </c>
      <c r="E18" s="18" t="inlineStr">
        <is>
          <t>Not Started</t>
        </is>
      </c>
      <c r="F18" s="18" t="n"/>
    </row>
    <row r="19" ht="198" customHeight="1" s="82">
      <c r="A19" s="19" t="n"/>
      <c r="B19" s="34" t="inlineStr">
        <is>
          <t>WSTG-CONF-02</t>
        </is>
      </c>
      <c r="C19" s="15">
        <f>HYPERLINK("https://owasp.org/www-project-web-security-testing-guide/latest/4-Web_Application_Security_Testing/02-Configuration_and_Deployment_Management/02-Application_Platform_Configuration", "Application Platform Configuration")</f>
        <v/>
      </c>
      <c r="D19" s="16" t="inlineStr">
        <is>
          <t>- Ensure that default, sample, and known files have been removed from the deployed platform, container image, or serverless package.
- Validate that no debugging code, debug endpoints, debug modes, or unused modules/dependencies are left enabled in production environments.
- Review the logging mechanisms set in place for the application, including what sensitive data may be captured and who/what can access or retain it.
- Confirm framework-, container-, and serverless-specific production hardening settings are applied rather than left at insecure defaults.</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HYPERLINK("https://owasp.org/www-project-web-security-testing-guide/latest/4-Web_Application_Security_Testing/02-Configuration_and_Deployment_Management/03-File_Extensions_Handling_for_Sensitive_Information", "File Extensions Handling for Sensitive Information")</f>
        <v/>
      </c>
      <c r="D20" s="16" t="inlineStr">
        <is>
          <t>N/A</t>
        </is>
      </c>
      <c r="E20" s="18" t="inlineStr">
        <is>
          <t>Not Started</t>
        </is>
      </c>
      <c r="F20" s="18" t="n"/>
    </row>
    <row r="21" ht="115.5" customHeight="1" s="82">
      <c r="A21" s="19" t="n"/>
      <c r="B21" s="34" t="inlineStr">
        <is>
          <t>WSTG-CONF-04</t>
        </is>
      </c>
      <c r="C21" s="15">
        <f>HYPERLINK("https://owasp.org/www-project-web-security-testing-guide/latest/4-Web_Application_Security_Testing/02-Configuration_and_Deployment_Management/04-Review_Old_Backup_and_Unreferenced_Files_for_Sensitive_Information", "Review Old Backup and Unreferenced Files for Sensitive Information")</f>
        <v/>
      </c>
      <c r="D21" s="16" t="inlineStr">
        <is>
          <t>- Find and analyze old, backup, and unreferenced files - including files exposed only through their extension, and objects left in cloud storage - that might contain sensitive information.
- Validate that no system or framework bypasses exist for any rules put in place to prevent these files from being served.</t>
        </is>
      </c>
      <c r="E21" s="18" t="inlineStr">
        <is>
          <t>Not Started</t>
        </is>
      </c>
      <c r="F21" s="18" t="n"/>
    </row>
    <row r="22" ht="99" customHeight="1" s="82">
      <c r="A22" s="19" t="n"/>
      <c r="B22" s="34" t="inlineStr">
        <is>
          <t>WSTG-CONF-05</t>
        </is>
      </c>
      <c r="C22" s="15">
        <f>HYPERLINK("https://owasp.org/www-project-web-security-testing-guide/latest/4-Web_Application_Security_Testing/02-Configuration_and_Deployment_Management/05-Enumerate_Infrastructure_and_Application_Admin_Interfaces", "Enumerate Infrastructure and Application Admin Interfaces")</f>
        <v/>
      </c>
      <c r="D22" s="16" t="inlineStr">
        <is>
          <t>- Identify hidden administrator interfaces and functionality, including cloud, container-orchestration, API-management, and CI/CD management consoles.
- Check any discovered interface for default, weak, or reused credentials, and for exposure to networks/users beyond those intended.</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HYPERLINK("https://owasp.org/www-project-web-security-testing-guide/latest/4-Web_Application_Security_Testing/02-Configuration_and_Deployment_Management/06-HTTP_Methods", "HTTP Methods")</f>
        <v/>
      </c>
      <c r="D23" s="16" t="inlineStr">
        <is>
          <t>- Enumerate supported HTTP methods.
- Test for access control bypass.
- Test HTTP method overriding techniques.</t>
        </is>
      </c>
      <c r="E23" s="18" t="inlineStr">
        <is>
          <t>Not Started</t>
        </is>
      </c>
      <c r="F23" s="18" t="n"/>
    </row>
    <row r="24" ht="132" customHeight="1" s="82">
      <c r="A24" s="19" t="n"/>
      <c r="B24" s="34" t="inlineStr">
        <is>
          <t>WSTG-CONF-07</t>
        </is>
      </c>
      <c r="C24" s="15">
        <f>HYPERLINK("https://owasp.org/www-project-web-security-testing-guide/latest/4-Web_Application_Security_Testing/02-Configuration_and_Deployment_Management/07-HTTP_Strict_Transport_Security", "HTTP Strict Transport Security")</f>
        <v/>
      </c>
      <c r="D24" s="16" t="inlineStr">
        <is>
          <t>- Review the HSTS header, its directives, and their values for consistency with current best practice.
- Confirm the site is protected against the first-request trust gap, either via preload or an otherwise hardened HTTP-to-HTTPS path.
- Confirm HSTS is applied consistently across the domain and relevant subdomains, and does not mask mixed-content issues.</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HYPERLINK("https://owasp.org/www-project-web-security-testing-guide/latest/4-Web_Application_Security_Testing/02-Configuration_and_Deployment_Management/09-File_Permissions", "File Permissions")</f>
        <v/>
      </c>
      <c r="D25" s="16" t="inlineStr">
        <is>
          <t>- Review and identify any rogue file permissions on the host filesystem, in container images/filesystems, and on cloud storage objects.
- Assess whether Kubernetes volume mounts and `securityContext` settings enforce least-privilege access to files and secrets.
- Identify secrets stored with overly broad permissions, wherever they are held (filesystem, container image, orchestration secret store, cloud secrets manager export, CI artifacts).</t>
        </is>
      </c>
      <c r="E25" s="18" t="inlineStr">
        <is>
          <t>Not Started</t>
        </is>
      </c>
      <c r="F25" s="18" t="n"/>
    </row>
    <row r="26" ht="148.5" customHeight="1" s="82">
      <c r="A26" s="19" t="n"/>
      <c r="B26" s="34" t="inlineStr">
        <is>
          <t>WSTG-CONF-10</t>
        </is>
      </c>
      <c r="C26" s="15">
        <f>HYPERLINK("https://owasp.org/www-project-web-security-testing-guide/latest/4-Web_Application_Security_Testing/02-Configuration_and_Deployment_Management/10-Subdomain_Takeover", "Subdomain Takeover")</f>
        <v/>
      </c>
      <c r="D26" s="16" t="inlineStr">
        <is>
          <t>- Enumerate all possible domains (previous and current), including wildcard-covered names.
- Identify any forgotten or misconfigured domains, and any dangling-service signature not covered by a known response fingerprint.
- Where a takeover is confirmed feasible, assess whether the parent application's cookies, CORS policy, OAuth redirect validation, or CSP allowlist extend trust to the claimed subdomain.</t>
        </is>
      </c>
      <c r="E26" s="18" t="inlineStr">
        <is>
          <t>Not Started</t>
        </is>
      </c>
      <c r="F26" s="18" t="n"/>
    </row>
    <row r="27" ht="132" customHeight="1" s="82">
      <c r="A27" s="19" t="n"/>
      <c r="B27" s="34" t="inlineStr">
        <is>
          <t>WSTG-CONF-11</t>
        </is>
      </c>
      <c r="C27" s="15">
        <f>HYPERLINK("https://owasp.org/www-project-web-security-testing-guide/latest/4-Web_Application_Security_Testing/02-Configuration_and_Deployment_Management/11-Cloud_Storage", "Cloud Storage")</f>
        <v/>
      </c>
      <c r="D27" s="16" t="inlineStr">
        <is>
          <t>- Assess that the access control configuration for the storage services (bucket/container-level public access, and object/principal-level ACLs or IAM policies) is properly in place.
- Assess whether signed/presigned URLs are scoped, time-limited, and handled appropriately.
- Assess whether object versioning and lifecycle configuration could expose old or supposedly-removed sensitive data.</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HYPERLINK("https://owasp.org/www-project-web-security-testing-guide/latest/4-Web_Application_Security_Testing/02-Configuration_and_Deployment_Management/12-Content_Security_Policy", "Content Security Policy")</f>
        <v/>
      </c>
      <c r="D28" s="16" t="inlineStr">
        <is>
          <t>- Review the Content-Security-Policy header or meta element to identify misconfigurations.</t>
        </is>
      </c>
      <c r="E28" s="18" t="inlineStr">
        <is>
          <t>Not Started</t>
        </is>
      </c>
      <c r="F28" s="18" t="n"/>
    </row>
    <row r="29" ht="115.5" customHeight="1" s="82">
      <c r="A29" s="19" t="n"/>
      <c r="B29" s="34" t="inlineStr">
        <is>
          <t>WSTG-CONF-13</t>
        </is>
      </c>
      <c r="C29" s="15">
        <f>HYPERLINK("https://owasp.org/www-project-web-security-testing-guide/latest/4-Web_Application_Security_Testing/02-Configuration_and_Deployment_Management/13-Path_Confusion", "Path Confusion")</f>
        <v/>
      </c>
      <c r="D29" s="16" t="inlineStr">
        <is>
          <t>- Make sure application paths are configured and normalized consistently across all components (application, proxy, cache, CDN, WAF) that make decisions based on the path.
- Identify cases where trailing slashes, case sensitivity, or encoding differences cause a security control (auth/access rules, routing, cache keying) to be bypassed or behave inconsistently.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HYPERLINK("https://owasp.org/www-project-web-security-testing-guide/latest/4-Web_Application_Security_Testing/02-Configuration_and_Deployment_Management/14-Other_HTTP_Security_Header_Misconfigurations",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247.5" customHeight="1" s="82">
      <c r="A31" s="19" t="n"/>
      <c r="B31" s="34" t="inlineStr">
        <is>
          <t>WSTG-CONF-15</t>
        </is>
      </c>
      <c r="C31" s="15">
        <f>HYPERLINK("https://owasp.org/www-project-web-security-testing-guide/latest/4-Web_Application_Security_Testing/02-Configuration_and_Deployment_Management/15-Feature_Flag_Security_Bypass", "Feature Flag Security Bypass")</f>
        <v/>
      </c>
      <c r="D31" s="16" t="inlineStr">
        <is>
          <t>- Identify feature flags and kill-switches that control security-relevant functionality.
- Determine whether feature flag states can be manipulated by an unauthorized client, and verify that backend security controls remain enforced independently of client-side flag state.
- Verify that security controls remain consistently enforced across flag transitions, rollbacks, staged deployments, and services or instances, including whether stale security assertions or session state can be reused after a transition.
- Evaluate fail-safe behavior when the feature flag service is unavailable.
- Identify sensitive information exposed through feature flag configurations, and stale flags that may expose deprecated or unpatched code paths.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HYPERLINK("https://owasp.org/www-project-web-security-testing-guide/latest/4-Web_Application_Security_Testing/03-Identity_Management/01-Role_Definitions",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HYPERLINK("https://owasp.org/www-project-web-security-testing-guide/latest/4-Web_Application_Security_Testing/03-Identity_Management/02-User_Registration_Process",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HYPERLINK("https://owasp.org/www-project-web-security-testing-guide/latest/4-Web_Application_Security_Testing/03-Identity_Management/03-Account_Provisioning_Process",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HYPERLINK("https://owasp.org/www-project-web-security-testing-guide/latest/4-Web_Application_Security_Testing/03-Identity_Management/04-Account_Enumeration_and_Guessable_User_Account",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16.5" customHeight="1" s="82">
      <c r="A38" s="19" t="n"/>
      <c r="B38" s="34" t="inlineStr">
        <is>
          <t>WSTG-IDNT-05</t>
        </is>
      </c>
      <c r="C38" s="15">
        <f>HYPERLINK("https://owasp.org/www-project-web-security-testing-guide/latest/4-Web_Application_Security_Testing/03-Identity_Management/05-Weak_or_Unenforced_Username_Policy",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HYPERLINK("https://owasp.org/www-project-web-security-testing-guide/latest/4-Web_Application_Security_Testing/04-Authentication/01-Credentials_Transported_over_an_Encrypted_Channel",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HYPERLINK("https://owasp.org/www-project-web-security-testing-guide/latest/4-Web_Application_Security_Testing/04-Authentication/02-Default_Credentials",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HYPERLINK("https://owasp.org/www-project-web-security-testing-guide/latest/4-Web_Application_Security_Testing/04-Authentication/03-Weak_Lock_Out_Mechanism",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HYPERLINK("https://owasp.org/www-project-web-security-testing-guide/latest/4-Web_Application_Security_Testing/04-Authentication/04-Bypassing_Authentication_Schema",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HYPERLINK("https://owasp.org/www-project-web-security-testing-guide/latest/4-Web_Application_Security_Testing/04-Authentication/05-Vulnerable_Remember_Password",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HYPERLINK("https://owasp.org/www-project-web-security-testing-guide/latest/4-Web_Application_Security_Testing/04-Authentication/06-Browser_Cache_Weaknesses",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HYPERLINK("https://owasp.org/www-project-web-security-testing-guide/latest/4-Web_Application_Security_Testing/04-Authentication/07-Weak_Authentication_Methods",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HYPERLINK("https://owasp.org/www-project-web-security-testing-guide/latest/4-Web_Application_Security_Testing/04-Authentication/08-Weak_Security_Question_Answer",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HYPERLINK("https://owasp.org/www-project-web-security-testing-guide/latest/4-Web_Application_Security_Testing/04-Authentication/09-Weak_Password_Change_or_Reset_Functionalities",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HYPERLINK("https://owasp.org/www-project-web-security-testing-guide/latest/4-Web_Application_Security_Testing/04-Authentication/10-Weaker_Authentication_in_Alternative_Channel",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HYPERLINK("https://owasp.org/www-project-web-security-testing-guide/latest/4-Web_Application_Security_Testing/04-Authentication/11-Multi-Factor_Authentication",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HYPERLINK("https://owasp.org/www-project-web-security-testing-guide/latest/4-Web_Application_Security_Testing/05-Authorization/01-Directory_Traversal_File_Include",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HYPERLINK("https://owasp.org/www-project-web-security-testing-guide/latest/4-Web_Application_Security_Testing/05-Authorization/02-Bypassing_Authorization_Schema",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HYPERLINK("https://owasp.org/www-project-web-security-testing-guide/latest/4-Web_Application_Security_Testing/05-Authorization/03-Privilege_Escalation",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HYPERLINK("https://owasp.org/www-project-web-security-testing-guide/latest/4-Web_Application_Security_Testing/05-Authorization/04-Insecure_Direct_Object_References",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HYPERLINK("https://owasp.org/www-project-web-security-testing-guide/latest/4-Web_Application_Security_Testing/05-Authorization/05-OAuth_Weaknesses",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HYPERLINK("https://owasp.org/www-project-web-security-testing-guide/latest/4-Web_Application_Security_Testing/06-Session_Management/01-Session_Management_Schema",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HYPERLINK("https://owasp.org/www-project-web-security-testing-guide/latest/4-Web_Application_Security_Testing/06-Session_Management/02-Cookies_Attributes",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HYPERLINK("https://owasp.org/www-project-web-security-testing-guide/latest/4-Web_Application_Security_Testing/06-Session_Management/03-Session_Fixation",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HYPERLINK("https://owasp.org/www-project-web-security-testing-guide/latest/4-Web_Application_Security_Testing/06-Session_Management/04-Exposed_Session_Variables",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HYPERLINK("https://owasp.org/www-project-web-security-testing-guide/latest/4-Web_Application_Security_Testing/06-Session_Management/05-Cross_Site_Request_Forgery",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HYPERLINK("https://owasp.org/www-project-web-security-testing-guide/latest/4-Web_Application_Security_Testing/06-Session_Management/06-Logout_Functionality",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HYPERLINK("https://owasp.org/www-project-web-security-testing-guide/latest/4-Web_Application_Security_Testing/06-Session_Management/07-Session_Timeout",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HYPERLINK("https://owasp.org/www-project-web-security-testing-guide/latest/4-Web_Application_Security_Testing/06-Session_Management/08-Session_Puzzling",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HYPERLINK("https://owasp.org/www-project-web-security-testing-guide/latest/4-Web_Application_Security_Testing/06-Session_Management/09-Session_Hijacking",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HYPERLINK("https://owasp.org/www-project-web-security-testing-guide/latest/4-Web_Application_Security_Testing/06-Session_Management/10-JSON_Web_Tokens",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HYPERLINK("https://owasp.org/www-project-web-security-testing-guide/latest/4-Web_Application_Security_Testing/06-Session_Management/11-Concurrent_Sessions",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Injection</t>
        </is>
      </c>
      <c r="C73" s="101" t="inlineStr">
        <is>
          <t>Test Name</t>
        </is>
      </c>
      <c r="D73" s="101" t="inlineStr">
        <is>
          <t>Objectives</t>
        </is>
      </c>
      <c r="E73" s="101" t="inlineStr">
        <is>
          <t>Status</t>
        </is>
      </c>
      <c r="F73" s="101" t="inlineStr">
        <is>
          <t>Notes</t>
        </is>
      </c>
    </row>
    <row r="74" ht="49.5" customHeight="1" s="82">
      <c r="A74" s="19" t="n"/>
      <c r="B74" s="34" t="inlineStr">
        <is>
          <t>WSTG-INJT-01</t>
        </is>
      </c>
      <c r="C74" s="15">
        <f>HYPERLINK("https://owasp.org/www-project-web-security-testing-guide/latest/4-Web_Application_Security_Testing/07-Injection/01-Reflected_Cross_Site_Scripting",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WSTG-INJT-02</t>
        </is>
      </c>
      <c r="C75" s="15">
        <f>HYPERLINK("https://owasp.org/www-project-web-security-testing-guide/latest/4-Web_Application_Security_Testing/07-Injection/02-Stored_Cross_Site_Scripting",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WSTG-INJT-03</t>
        </is>
      </c>
      <c r="C76" s="15">
        <f>HYPERLINK("https://owasp.org/www-project-web-security-testing-guide/latest/4-Web_Application_Security_Testing/07-Injection/03-HTTP_Verb_Tampering", "HTTP Verb Tampering")</f>
        <v/>
      </c>
      <c r="D76" s="16" t="inlineStr">
        <is>
          <t>N/A</t>
        </is>
      </c>
      <c r="E76" s="18" t="inlineStr">
        <is>
          <t>Not Started</t>
        </is>
      </c>
      <c r="F76" s="18" t="n"/>
    </row>
    <row r="77" ht="49.5" customHeight="1" s="82">
      <c r="A77" s="19" t="n"/>
      <c r="B77" s="34" t="inlineStr">
        <is>
          <t>WSTG-INJT-04</t>
        </is>
      </c>
      <c r="C77" s="15">
        <f>HYPERLINK("https://owasp.org/www-project-web-security-testing-guide/latest/4-Web_Application_Security_Testing/07-Injection/04-HTTP_Parameter_Pollution", "HTTP Parameter Pollution")</f>
        <v/>
      </c>
      <c r="D77" s="16" t="inlineStr">
        <is>
          <t>- Identify the back end and the parsing method used.
- Assess injection points and try bypassing input filters using HPP.</t>
        </is>
      </c>
      <c r="E77" s="18" t="inlineStr">
        <is>
          <t>Not Started</t>
        </is>
      </c>
      <c r="F77" s="18" t="n"/>
    </row>
    <row r="78" ht="49.5" customHeight="1" s="82">
      <c r="A78" s="19" t="n"/>
      <c r="B78" s="34" t="inlineStr">
        <is>
          <t>WSTG-INJT-05</t>
        </is>
      </c>
      <c r="C78" s="15">
        <f>HYPERLINK("https://owasp.org/www-project-web-security-testing-guide/latest/4-Web_Application_Security_Testing/07-Injection/05-SQL_Injection",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WSTG-INJT-06</t>
        </is>
      </c>
      <c r="C79" s="15">
        <f>HYPERLINK("https://owasp.org/www-project-web-security-testing-guide/latest/4-Web_Application_Security_Testing/07-Injection/06-LDAP_Injection", "LDAP Injection")</f>
        <v/>
      </c>
      <c r="D79" s="16" t="inlineStr">
        <is>
          <t>- Identify LDAP injection points.
- Assess the severity of the injection.</t>
        </is>
      </c>
      <c r="E79" s="18" t="inlineStr">
        <is>
          <t>Not Started</t>
        </is>
      </c>
      <c r="F79" s="18" t="n"/>
    </row>
    <row r="80" ht="49.5" customHeight="1" s="82">
      <c r="A80" s="19" t="n"/>
      <c r="B80" s="34" t="inlineStr">
        <is>
          <t>WSTG-INJT-07</t>
        </is>
      </c>
      <c r="C80" s="15">
        <f>HYPERLINK("https://owasp.org/www-project-web-security-testing-guide/latest/4-Web_Application_Security_Testing/07-Injection/07-XML_Injection",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WSTG-INJT-08</t>
        </is>
      </c>
      <c r="C81" s="15">
        <f>HYPERLINK("https://owasp.org/www-project-web-security-testing-guide/latest/4-Web_Application_Security_Testing/07-Injection/08-SSI_Injection", "SSI Injection")</f>
        <v/>
      </c>
      <c r="D81" s="16" t="inlineStr">
        <is>
          <t>- Identify SSI injection points.
- Assess the severity of the injection.</t>
        </is>
      </c>
      <c r="E81" s="18" t="inlineStr">
        <is>
          <t>Not Started</t>
        </is>
      </c>
      <c r="F81" s="18" t="n"/>
    </row>
    <row r="82" ht="16.5" customHeight="1" s="82">
      <c r="A82" s="19" t="n"/>
      <c r="B82" s="34" t="inlineStr">
        <is>
          <t>WSTG-INJT-09</t>
        </is>
      </c>
      <c r="C82" s="15">
        <f>HYPERLINK("https://owasp.org/www-project-web-security-testing-guide/latest/4-Web_Application_Security_Testing/07-Injection/09-XPath_Injection", "XPath Injection")</f>
        <v/>
      </c>
      <c r="D82" s="16" t="inlineStr">
        <is>
          <t>- Identify XPATH injection points.</t>
        </is>
      </c>
      <c r="E82" s="18" t="inlineStr">
        <is>
          <t>Not Started</t>
        </is>
      </c>
      <c r="F82" s="18" t="n"/>
    </row>
    <row r="83" ht="66" customHeight="1" s="82">
      <c r="A83" s="19" t="n"/>
      <c r="B83" s="34" t="inlineStr">
        <is>
          <t>WSTG-INJT-10</t>
        </is>
      </c>
      <c r="C83" s="15">
        <f>HYPERLINK("https://owasp.org/www-project-web-security-testing-guide/latest/4-Web_Application_Security_Testing/07-Injection/10-IMAP_SMTP_Injection",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WSTG-INJT-11</t>
        </is>
      </c>
      <c r="C84" s="15">
        <f>HYPERLINK("https://owasp.org/www-project-web-security-testing-guide/latest/4-Web_Application_Security_Testing/07-Injection/11-Code_Injection",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WSTG-INJT-12</t>
        </is>
      </c>
      <c r="C85" s="15">
        <f>HYPERLINK("https://owasp.org/www-project-web-security-testing-guide/latest/4-Web_Application_Security_Testing/07-Injection/12-Command_Injection", "Command Injection")</f>
        <v/>
      </c>
      <c r="D85" s="16" t="inlineStr">
        <is>
          <t>- Identify and assess command injection points.
- Bypass special characters and OS commands filter.</t>
        </is>
      </c>
      <c r="E85" s="18" t="inlineStr">
        <is>
          <t>Not Started</t>
        </is>
      </c>
      <c r="F85" s="18" t="n"/>
    </row>
    <row r="86" ht="49.5" customHeight="1" s="82">
      <c r="A86" s="19" t="n"/>
      <c r="B86" s="34" t="inlineStr">
        <is>
          <t>WSTG-INJT-13</t>
        </is>
      </c>
      <c r="C86" s="15">
        <f>HYPERLINK("https://owasp.org/www-project-web-security-testing-guide/latest/4-Web_Application_Security_Testing/07-Injection/13-Format_String_Injection", "Format String Injection")</f>
        <v/>
      </c>
      <c r="D86" s="16" t="inlineStr">
        <is>
          <t>- Assess whether injecting format string conversion specifiers into user-controlled fields causes undesired behavior from the application.</t>
        </is>
      </c>
      <c r="E86" s="18" t="inlineStr">
        <is>
          <t>Not Started</t>
        </is>
      </c>
      <c r="F86" s="18" t="n"/>
    </row>
    <row r="87" ht="66" customHeight="1" s="82">
      <c r="A87" s="19" t="n"/>
      <c r="B87" s="34" t="inlineStr">
        <is>
          <t>WSTG-INJT-14</t>
        </is>
      </c>
      <c r="C87" s="15">
        <f>HYPERLINK("https://owasp.org/www-project-web-security-testing-guide/latest/4-Web_Application_Security_Testing/07-Injection/14-Incubated_Vulnerability", "Incubated Vulnerability")</f>
        <v/>
      </c>
      <c r="D87" s="16" t="inlineStr">
        <is>
          <t>- Identify injections that are stored and require a recall step to the stored injection.
- Understand how a recall step could occur.
- Set listeners or activate the recall step if possible.</t>
        </is>
      </c>
      <c r="E87" s="18" t="inlineStr">
        <is>
          <t>Not Started</t>
        </is>
      </c>
      <c r="F87" s="18" t="n"/>
    </row>
    <row r="88" ht="115.5" customHeight="1" s="82">
      <c r="A88" s="19" t="n"/>
      <c r="B88" s="34" t="inlineStr">
        <is>
          <t>WSTG-INJT-15</t>
        </is>
      </c>
      <c r="C88" s="15">
        <f>HYPERLINK("https://owasp.org/www-project-web-security-testing-guide/latest/4-Web_Application_Security_Testing/07-Injection/15-HTTP_Response_Splitting", "HTTP Response Splitting")</f>
        <v/>
      </c>
      <c r="D88"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8" s="18" t="inlineStr">
        <is>
          <t>Not Started</t>
        </is>
      </c>
      <c r="F88" s="18" t="n"/>
    </row>
    <row r="89" ht="99" customHeight="1" s="82">
      <c r="A89" s="19" t="n"/>
      <c r="B89" s="34" t="inlineStr">
        <is>
          <t>WSTG-INJT-16</t>
        </is>
      </c>
      <c r="C89" s="15">
        <f>HYPERLINK("https://owasp.org/www-project-web-security-testing-guide/latest/4-Web_Application_Security_Testing/07-Injection/16-HTTP_Request_Smuggling", "HTTP Request Smuggling")</f>
        <v/>
      </c>
      <c r="D89"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9" s="18" t="inlineStr">
        <is>
          <t>Not Started</t>
        </is>
      </c>
      <c r="F89" s="18" t="n"/>
    </row>
    <row r="90" ht="49.5" customHeight="1" s="82">
      <c r="A90" s="19" t="n"/>
      <c r="B90" s="34" t="inlineStr">
        <is>
          <t>WSTG-INJT-17</t>
        </is>
      </c>
      <c r="C90" s="15">
        <f>HYPERLINK("https://owasp.org/www-project-web-security-testing-guide/latest/4-Web_Application_Security_Testing/07-Injection/17-Host_Header_Injection", "Host Header Injection")</f>
        <v/>
      </c>
      <c r="D90" s="16" t="inlineStr">
        <is>
          <t>- Assess if the Host header is being parsed dynamically in the application.
- Bypass security controls that rely on the header.</t>
        </is>
      </c>
      <c r="E90" s="18" t="inlineStr">
        <is>
          <t>Not Started</t>
        </is>
      </c>
      <c r="F90" s="18" t="n"/>
    </row>
    <row r="91" ht="49.5" customHeight="1" s="82">
      <c r="A91" s="19" t="n"/>
      <c r="B91" s="34" t="inlineStr">
        <is>
          <t>WSTG-INJT-18</t>
        </is>
      </c>
      <c r="C91" s="15">
        <f>HYPERLINK("https://owasp.org/www-project-web-security-testing-guide/latest/4-Web_Application_Security_Testing/07-Injection/18-Server-side_Template_Injection", "Server-side Template Injection")</f>
        <v/>
      </c>
      <c r="D91" s="16" t="inlineStr">
        <is>
          <t>- Detect template injection vulnerability points.
- Identify the templating engine.
- Build the exploit.</t>
        </is>
      </c>
      <c r="E91" s="18" t="inlineStr">
        <is>
          <t>Not Started</t>
        </is>
      </c>
      <c r="F91" s="18" t="n"/>
    </row>
    <row r="92" ht="49.5" customHeight="1" s="82">
      <c r="A92" s="19" t="n"/>
      <c r="B92" s="34" t="inlineStr">
        <is>
          <t>WSTG-INJT-19</t>
        </is>
      </c>
      <c r="C92" s="15">
        <f>HYPERLINK("https://owasp.org/www-project-web-security-testing-guide/latest/4-Web_Application_Security_Testing/07-Injection/19-Server-Side_Request_Forgery", "Server-Side Request Forgery")</f>
        <v/>
      </c>
      <c r="D92" s="16" t="inlineStr">
        <is>
          <t>- Identify SSRF injection points.
- Test if the injection points are exploitable.
- Asses the severity of the vulnerability.</t>
        </is>
      </c>
      <c r="E92" s="18" t="inlineStr">
        <is>
          <t>Not Started</t>
        </is>
      </c>
      <c r="F92" s="18" t="n"/>
    </row>
    <row r="93" ht="49.5" customHeight="1" s="82">
      <c r="A93" s="19" t="n"/>
      <c r="B93" s="34" t="inlineStr">
        <is>
          <t>WSTG-INJT-20</t>
        </is>
      </c>
      <c r="C93" s="15">
        <f>HYPERLINK("https://owasp.org/www-project-web-security-testing-guide/latest/4-Web_Application_Security_Testing/07-Injection/20-Mass_Assignment", "Mass Assignment")</f>
        <v/>
      </c>
      <c r="D93" s="16" t="inlineStr">
        <is>
          <t>- Identify requests that modify objects
- Assess if it is possible to modify fields never intended to be modified from outside</t>
        </is>
      </c>
      <c r="E93" s="18" t="inlineStr">
        <is>
          <t>Not Started</t>
        </is>
      </c>
      <c r="F93" s="18" t="n"/>
    </row>
    <row r="94" ht="181.5" customHeight="1" s="82">
      <c r="A94" s="19" t="n"/>
      <c r="B94" s="34" t="inlineStr">
        <is>
          <t>WSTG-INJT-21</t>
        </is>
      </c>
      <c r="C94" s="15">
        <f>HYPERLINK("https://owasp.org/www-project-web-security-testing-guide/latest/4-Web_Application_Security_Testing/07-Injection/21-CSV_Injection", "CSV Injection")</f>
        <v/>
      </c>
      <c r="D94"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4" s="18" t="inlineStr">
        <is>
          <t>Not Started</t>
        </is>
      </c>
      <c r="F94" s="18" t="n"/>
    </row>
    <row r="95" ht="99" customHeight="1" s="82">
      <c r="A95" s="19" t="n"/>
      <c r="B95" s="34" t="inlineStr">
        <is>
          <t>WSTG-INJT-22</t>
        </is>
      </c>
      <c r="C95" s="15">
        <f>HYPERLINK("https://owasp.org/www-project-web-security-testing-guide/latest/4-Web_Application_Security_Testing/07-Injection/22-Prototype_Pollution", "Prototype Pollution")</f>
        <v/>
      </c>
      <c r="D95" s="16" t="inlineStr">
        <is>
          <t>- Identify functions and libraries that recursively merge, clone, or assign user-controlled properties.
- Determine whether user input can reach and modify `Object.prototype`.
- Identify gadgets that turn prototype pollution into a concrete impact.</t>
        </is>
      </c>
      <c r="E95" s="18" t="inlineStr">
        <is>
          <t>Not Started</t>
        </is>
      </c>
      <c r="F95" s="18" t="n"/>
    </row>
    <row r="96" ht="165" customHeight="1" s="82">
      <c r="A96" s="19" t="n"/>
      <c r="B96" s="34" t="inlineStr">
        <is>
          <t>WSTG-INJT-23</t>
        </is>
      </c>
      <c r="C96" s="15">
        <f>HYPERLINK("https://owasp.org/www-project-web-security-testing-guide/latest/4-Web_Application_Security_Testing/07-Injection/23-Insecure_Deserialization", "Insecure Deserialization")</f>
        <v/>
      </c>
      <c r="D96"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6" s="18" t="inlineStr">
        <is>
          <t>Not Started</t>
        </is>
      </c>
      <c r="F96" s="18" t="n"/>
    </row>
    <row r="97" ht="15" customHeight="1" s="82">
      <c r="A97" s="97" t="n"/>
      <c r="B97" s="98" t="n"/>
      <c r="C97" s="99" t="n"/>
      <c r="D97" s="99" t="n"/>
      <c r="E97" s="99" t="n"/>
      <c r="F97" s="99" t="n"/>
    </row>
    <row r="98" ht="47.25" customHeight="1" s="82">
      <c r="A98" s="9" t="n"/>
      <c r="B98" s="100" t="inlineStr">
        <is>
          <t>Error Handling</t>
        </is>
      </c>
      <c r="C98" s="101" t="inlineStr">
        <is>
          <t>Test Name</t>
        </is>
      </c>
      <c r="D98" s="101" t="inlineStr">
        <is>
          <t>Objectives</t>
        </is>
      </c>
      <c r="E98" s="101" t="inlineStr">
        <is>
          <t>Status</t>
        </is>
      </c>
      <c r="F98" s="101" t="inlineStr">
        <is>
          <t>Notes</t>
        </is>
      </c>
    </row>
    <row r="99" ht="33" customHeight="1" s="82">
      <c r="A99" s="19" t="n"/>
      <c r="B99" s="34" t="inlineStr">
        <is>
          <t>WSTG-ERRH-01</t>
        </is>
      </c>
      <c r="C99" s="15">
        <f>HYPERLINK("https://owasp.org/www-project-web-security-testing-guide/latest/4-Web_Application_Security_Testing/08-Error_Handling/01-Improper_Error_Handling", "Improper Error Handling")</f>
        <v/>
      </c>
      <c r="D99" s="16" t="inlineStr">
        <is>
          <t>- Identify existing error output.
- Analyze the different output returned.</t>
        </is>
      </c>
      <c r="E99" s="18" t="inlineStr">
        <is>
          <t>Not Started</t>
        </is>
      </c>
      <c r="F99" s="18" t="n"/>
    </row>
    <row r="100" ht="16.5" customHeight="1" s="82">
      <c r="A100" s="19" t="n"/>
      <c r="B100" s="34" t="inlineStr">
        <is>
          <t>WSTG-ERRH-02</t>
        </is>
      </c>
      <c r="C100" s="15">
        <f>HYPERLINK("https://owasp.org/www-project-web-security-testing-guide/latest/4-Web_Application_Security_Testing/08-Error_Handling/02-Stack_Traces",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Weak Cryptography</t>
        </is>
      </c>
      <c r="C102" s="101" t="inlineStr">
        <is>
          <t>Test Name</t>
        </is>
      </c>
      <c r="D102" s="101" t="inlineStr">
        <is>
          <t>Objectives</t>
        </is>
      </c>
      <c r="E102" s="101" t="inlineStr">
        <is>
          <t>Status</t>
        </is>
      </c>
      <c r="F102" s="101" t="inlineStr">
        <is>
          <t>Notes</t>
        </is>
      </c>
    </row>
    <row r="103" ht="82.5" customHeight="1" s="82">
      <c r="A103" s="19" t="n"/>
      <c r="B103" s="34" t="inlineStr">
        <is>
          <t>WSTG-CRYP-01</t>
        </is>
      </c>
      <c r="C103" s="15">
        <f>HYPERLINK("https://owasp.org/www-project-web-security-testing-guide/latest/4-Web_Application_Security_Testing/09-Weak_Cryptography/01-Weak_Transport_Layer_Security", "Weak Transport Layer Security")</f>
        <v/>
      </c>
      <c r="D103" s="16" t="inlineStr">
        <is>
          <t>- Validate the service configuration.
- Review the digital certificate's cryptographic strength and validity.
- Ensure that the TLS security is not bypassable and is properly implemented across the application.</t>
        </is>
      </c>
      <c r="E103" s="18" t="inlineStr">
        <is>
          <t>Not Started</t>
        </is>
      </c>
      <c r="F103" s="18" t="n"/>
    </row>
    <row r="104" ht="49.5" customHeight="1" s="82">
      <c r="A104" s="19" t="n"/>
      <c r="B104" s="34" t="inlineStr">
        <is>
          <t>WSTG-CRYP-02</t>
        </is>
      </c>
      <c r="C104" s="15">
        <f>HYPERLINK("https://owasp.org/www-project-web-security-testing-guide/latest/4-Web_Application_Security_Testing/09-Weak_Cryptography/02-Padding_Oracle", "Padding Oracle")</f>
        <v/>
      </c>
      <c r="D104" s="16" t="inlineStr">
        <is>
          <t>- Identify encrypted messages that rely on padding.
- Attempt to break the padding of the encrypted messages and analyze the returned error messages for further analysis.</t>
        </is>
      </c>
      <c r="E104" s="18" t="inlineStr">
        <is>
          <t>Not Started</t>
        </is>
      </c>
      <c r="F104" s="18" t="n"/>
    </row>
    <row r="105" ht="49.5" customHeight="1" s="82">
      <c r="A105" s="19" t="n"/>
      <c r="B105" s="34" t="inlineStr">
        <is>
          <t>WSTG-CRYP-03</t>
        </is>
      </c>
      <c r="C105" s="15">
        <f>HYPERLINK("https://owasp.org/www-project-web-security-testing-guide/latest/4-Web_Application_Security_Testing/09-Weak_Cryptography/03-Sensitive_Information_Sent_via_Unencrypted_Channels", "Sensitive Information Sent via Unencrypted Channels")</f>
        <v/>
      </c>
      <c r="D105" s="16" t="inlineStr">
        <is>
          <t>- Identify sensitive information transmitted through the various channels.
- Assess the privacy and security of the channels used.</t>
        </is>
      </c>
      <c r="E105" s="18" t="inlineStr">
        <is>
          <t>Not Started</t>
        </is>
      </c>
      <c r="F105" s="18" t="n"/>
    </row>
    <row r="106" ht="33" customHeight="1" s="82">
      <c r="A106" s="19" t="n"/>
      <c r="B106" s="34" t="inlineStr">
        <is>
          <t>WSTG-CRYP-04</t>
        </is>
      </c>
      <c r="C106" s="15">
        <f>HYPERLINK("https://owasp.org/www-project-web-security-testing-guide/latest/4-Web_Application_Security_Testing/09-Weak_Cryptography/04-Weak_Cryptographic_Primitives", "Weak Cryptographic Primitives")</f>
        <v/>
      </c>
      <c r="D106" s="16" t="inlineStr">
        <is>
          <t>- Provide a guideline for the identification weak encryption or hashing uses and implementations.</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t>
        </is>
      </c>
      <c r="C108" s="101" t="inlineStr">
        <is>
          <t>Test Name</t>
        </is>
      </c>
      <c r="D108" s="101" t="inlineStr">
        <is>
          <t>Objectives</t>
        </is>
      </c>
      <c r="E108" s="101" t="inlineStr">
        <is>
          <t>Status</t>
        </is>
      </c>
      <c r="F108" s="101" t="inlineStr">
        <is>
          <t>Notes</t>
        </is>
      </c>
    </row>
    <row r="109" ht="132" customHeight="1" s="82">
      <c r="A109" s="19" t="n"/>
      <c r="B109" s="34" t="inlineStr">
        <is>
          <t>WSTG-BUSL-01</t>
        </is>
      </c>
      <c r="C109" s="15">
        <f>HYPERLINK("https://owasp.org/www-project-web-security-testing-guide/latest/4-Web_Application_Security_Testing/10-Business_Logic/01-Business_Logic_Data_Validation", "Business Logic Data Validation")</f>
        <v/>
      </c>
      <c r="D109" s="16" t="inlineStr">
        <is>
          <t>- Identify data injection points.
- Validate that all checks are occurring on the backend and can't be bypassed.
- Attempt to break the format of the expected data and analyze how the application is handling it.
- Determine whether parameters that the frontend restricts (type, range, set of allowed values, or relationship to other fields) are restricted again on the server.</t>
        </is>
      </c>
      <c r="E109" s="18" t="inlineStr">
        <is>
          <t>Not Started</t>
        </is>
      </c>
      <c r="F109" s="18" t="n"/>
    </row>
    <row r="110" ht="66" customHeight="1" s="82">
      <c r="A110" s="19" t="n"/>
      <c r="B110" s="34" t="inlineStr">
        <is>
          <t>WSTG-BUSL-02</t>
        </is>
      </c>
      <c r="C110" s="15">
        <f>HYPERLINK("https://owasp.org/www-project-web-security-testing-guide/latest/4-Web_Application_Security_Testing/10-Business_Logic/02-Ability_to_Forge_Requests", "Ability to Forge Requests")</f>
        <v/>
      </c>
      <c r="D110" s="16" t="inlineStr">
        <is>
          <t>- Review the project documentation looking for guessable, predictable, or hidden functionality of fields.
- Insert logically valid data in order to bypass normal business logic workflow.</t>
        </is>
      </c>
      <c r="E110" s="18" t="inlineStr">
        <is>
          <t>Not Started</t>
        </is>
      </c>
      <c r="F110" s="18" t="n"/>
    </row>
    <row r="111" ht="148.5" customHeight="1" s="82">
      <c r="A111" s="19" t="n"/>
      <c r="B111" s="34" t="inlineStr">
        <is>
          <t>WSTG-BUSL-03</t>
        </is>
      </c>
      <c r="C111" s="15">
        <f>HYPERLINK("https://owasp.org/www-project-web-security-testing-guide/latest/4-Web_Application_Security_Testing/10-Business_Logic/03-Integrity_Checks", "Integrity Checks")</f>
        <v/>
      </c>
      <c r="D111"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1" s="18" t="inlineStr">
        <is>
          <t>Not Started</t>
        </is>
      </c>
      <c r="F111" s="18" t="n"/>
    </row>
    <row r="112" ht="49.5" customHeight="1" s="82">
      <c r="A112" s="19" t="n"/>
      <c r="B112" s="34" t="inlineStr">
        <is>
          <t>WSTG-BUSL-04</t>
        </is>
      </c>
      <c r="C112" s="15">
        <f>HYPERLINK("https://owasp.org/www-project-web-security-testing-guide/latest/4-Web_Application_Security_Testing/10-Business_Logic/04-Process_Timing", "Process Timing")</f>
        <v/>
      </c>
      <c r="D112" s="16" t="inlineStr">
        <is>
          <t>- Review the project documentation for system functionality that may be impacted by time.
- Develop and execute misuse cases.</t>
        </is>
      </c>
      <c r="E112" s="18" t="inlineStr">
        <is>
          <t>Not Started</t>
        </is>
      </c>
      <c r="F112" s="18" t="n"/>
    </row>
    <row r="113" ht="66" customHeight="1" s="82">
      <c r="A113" s="19" t="n"/>
      <c r="B113" s="34" t="inlineStr">
        <is>
          <t>WSTG-BUSL-05</t>
        </is>
      </c>
      <c r="C113" s="15">
        <f>HYPERLINK("https://owasp.org/www-project-web-security-testing-guide/latest/4-Web_Application_Security_Testing/10-Business_Logic/05-Number_of_Times_a_Function_Can_Be_Used_Limits", "Number of Times a Function Can Be Used Limits")</f>
        <v/>
      </c>
      <c r="D113" s="16" t="inlineStr">
        <is>
          <t>- Identify functions that must set limits to the times they can be called.
- Assess if there is a logical limit set on the functions and if it is properly validated.</t>
        </is>
      </c>
      <c r="E113" s="18" t="inlineStr">
        <is>
          <t>Not Started</t>
        </is>
      </c>
      <c r="F113" s="18" t="n"/>
    </row>
    <row r="114" ht="82.5" customHeight="1" s="82">
      <c r="A114" s="19" t="n"/>
      <c r="B114" s="34" t="inlineStr">
        <is>
          <t>WSTG-BUSL-06</t>
        </is>
      </c>
      <c r="C114" s="15">
        <f>HYPERLINK("https://owasp.org/www-project-web-security-testing-guide/latest/4-Web_Application_Security_Testing/10-Business_Logic/06-Circumvention_of_Work_Flows", "Circumvention of Work Flows")</f>
        <v/>
      </c>
      <c r="D114" s="16" t="inlineStr">
        <is>
          <t>- Review the project documentation for methods to skip or go through steps in the application process in a different order from the intended business logic flow.
- Develop a misuse case and try to circumvent every logic flow identified.</t>
        </is>
      </c>
      <c r="E114" s="18" t="inlineStr">
        <is>
          <t>Not Started</t>
        </is>
      </c>
      <c r="F114" s="18" t="n"/>
    </row>
    <row r="115" ht="99" customHeight="1" s="82">
      <c r="A115" s="19" t="n"/>
      <c r="B115" s="34" t="inlineStr">
        <is>
          <t>WSTG-BUSL-07</t>
        </is>
      </c>
      <c r="C115" s="15">
        <f>HYPERLINK("https://owasp.org/www-project-web-security-testing-guide/latest/4-Web_Application_Security_Testing/10-Business_Logic/07-Defenses_Against_Application_Misuse", "Defenses Against Application Misuse")</f>
        <v/>
      </c>
      <c r="D115"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5" s="18" t="inlineStr">
        <is>
          <t>Not Started</t>
        </is>
      </c>
      <c r="F115" s="18" t="n"/>
    </row>
    <row r="116" ht="99" customHeight="1" s="82">
      <c r="A116" s="19" t="n"/>
      <c r="B116" s="34" t="inlineStr">
        <is>
          <t>WSTG-BUSL-08</t>
        </is>
      </c>
      <c r="C116" s="15">
        <f>HYPERLINK("https://owasp.org/www-project-web-security-testing-guide/latest/4-Web_Application_Security_Testing/10-Business_Logic/08-Upload_of_Unexpected_File_Types", "Upload of Unexpected File Types")</f>
        <v/>
      </c>
      <c r="D116"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HYPERLINK("https://owasp.org/www-project-web-security-testing-guide/latest/4-Web_Application_Security_Testing/10-Business_Logic/09-Upload_of_Malicious_Files", "Upload of Malicious Files")</f>
        <v/>
      </c>
      <c r="D117"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7" s="18" t="inlineStr">
        <is>
          <t>Not Started</t>
        </is>
      </c>
      <c r="F117" s="18" t="n"/>
    </row>
    <row r="118" ht="66" customHeight="1" s="82">
      <c r="A118" s="19" t="n"/>
      <c r="B118" s="34" t="inlineStr">
        <is>
          <t>WSTG-BUSL-10</t>
        </is>
      </c>
      <c r="C118" s="15">
        <f>HYPERLINK("https://owasp.org/www-project-web-security-testing-guide/latest/4-Web_Application_Security_Testing/10-Business_Logic/10-Payment_Functionality", "Payment Functionality")</f>
        <v/>
      </c>
      <c r="D118" s="16" t="inlineStr">
        <is>
          <t>- Determine whether the business logic for the e-commerce functionality is robust.
- Understand how the payment functionality works.
- Determine whether the payment functionality is secure.</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HYPERLINK("https://owasp.org/www-project-web-security-testing-guide/latest/4-Web_Application_Security_Testing/11-Client-side/01-DOM-based_Cross_Site_Scripting", "DOM-Based Cross Site Scripting")</f>
        <v/>
      </c>
      <c r="D121" s="16" t="inlineStr">
        <is>
          <t>- Identify DOM sinks.
- Build payloads that pertain to every sink type.</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HYPERLINK("https://owasp.org/www-project-web-security-testing-guide/latest/4-Web_Application_Security_Testing/11-Client-side/02-JavaScript_Execution", "JavaScript Execution")</f>
        <v/>
      </c>
      <c r="D122" s="16" t="inlineStr">
        <is>
          <t>- Identify sinks and possible JavaScript injection points.</t>
        </is>
      </c>
      <c r="E122" s="18" t="inlineStr">
        <is>
          <t>Not Started</t>
        </is>
      </c>
      <c r="F122" s="18" t="n"/>
    </row>
    <row r="123" ht="33" customHeight="1" s="82">
      <c r="A123" s="19" t="n"/>
      <c r="B123" s="34" t="inlineStr">
        <is>
          <t>WSTG-CLNT-03</t>
        </is>
      </c>
      <c r="C123" s="15">
        <f>HYPERLINK("https://owasp.org/www-project-web-security-testing-guide/latest/4-Web_Application_Security_Testing/11-Client-side/03-HTML_Injection", "HTML Injection")</f>
        <v/>
      </c>
      <c r="D123" s="16" t="inlineStr">
        <is>
          <t>- Identify HTML injection points and assess the severity of the injected content.</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HYPERLINK("https://owasp.org/www-project-web-security-testing-guide/latest/4-Web_Application_Security_Testing/11-Client-side/04-Client-side_URL_Redirect", "Client-side URL Redirect")</f>
        <v/>
      </c>
      <c r="D124" s="16" t="inlineStr">
        <is>
          <t>- Identify injection points that handle URLs or paths.
- Assess the locations that the system could redirect to.</t>
        </is>
      </c>
      <c r="E124" s="18" t="inlineStr">
        <is>
          <t>Not Started</t>
        </is>
      </c>
      <c r="F124" s="18" t="n"/>
    </row>
    <row r="125" ht="33" customHeight="1" s="82">
      <c r="A125" s="19" t="n"/>
      <c r="B125" s="34" t="inlineStr">
        <is>
          <t>WSTG-CLNT-05</t>
        </is>
      </c>
      <c r="C125" s="15">
        <f>HYPERLINK("https://owasp.org/www-project-web-security-testing-guide/latest/4-Web_Application_Security_Testing/11-Client-side/05-CSS_Injection", "CSS Injection")</f>
        <v/>
      </c>
      <c r="D125" s="16" t="inlineStr">
        <is>
          <t>- Identify CSS injection points.
- Assess the impact of the injection.</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HYPERLINK("https://owasp.org/www-project-web-security-testing-guide/latest/4-Web_Application_Security_Testing/11-Client-side/06-Client-side_Resource_Manipulation", "Client-side Resource Manipulation")</f>
        <v/>
      </c>
      <c r="D126" s="16" t="inlineStr">
        <is>
          <t>- Identify sinks with weak input validation.
- Assess the impact of the resource manipulation.</t>
        </is>
      </c>
      <c r="E126" s="18" t="inlineStr">
        <is>
          <t>Not Started</t>
        </is>
      </c>
      <c r="F126" s="18" t="n"/>
    </row>
    <row r="127" ht="33" customHeight="1" s="82">
      <c r="A127" s="19" t="n"/>
      <c r="B127" s="34" t="inlineStr">
        <is>
          <t>WSTG-CLNT-07</t>
        </is>
      </c>
      <c r="C127" s="15">
        <f>HYPERLINK("https://owasp.org/www-project-web-security-testing-guide/latest/4-Web_Application_Security_Testing/11-Client-side/07-Cross_Origin_Resource_Sharing", "Cross Origin Resource Sharing")</f>
        <v/>
      </c>
      <c r="D127" s="16" t="inlineStr">
        <is>
          <t>- Identify endpoints that implement CORS.
- Ensure that the CORS configuration is secure or harmless.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HYPERLINK("https://owasp.org/www-project-web-security-testing-guide/latest/4-Web_Application_Security_Testing/11-Client-side/09-Clickjacking",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HYPERLINK("https://owasp.org/www-project-web-security-testing-guide/latest/4-Web_Application_Security_Testing/11-Client-side/10-WebSockets",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HYPERLINK("https://owasp.org/www-project-web-security-testing-guide/latest/4-Web_Application_Security_Testing/11-Client-side/11-Web_Messaging",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HYPERLINK("https://owasp.org/www-project-web-security-testing-guide/latest/4-Web_Application_Security_Testing/11-Client-side/12-Browser_Storage",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HYPERLINK("https://owasp.org/www-project-web-security-testing-guide/latest/4-Web_Application_Security_Testing/11-Client-side/13-Cross_Site_Script_Inclusion",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HYPERLINK("https://owasp.org/www-project-web-security-testing-guide/latest/4-Web_Application_Security_Testing/11-Client-side/14-Reverse_Tabnabbing",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HYPERLINK("https://owasp.org/www-project-web-security-testing-guide/latest/4-Web_Application_Security_Testing/11-Client-side/15-Client-Side_Template_Injection",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HYPERLINK("https://owasp.org/www-project-web-security-testing-guide/latest/4-Web_Application_Security_Testing/12-API_Testing/03-Excessive_Data_Exposure",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82.5" customHeight="1" s="82">
      <c r="A140" s="19" t="n"/>
      <c r="B140" s="34" t="inlineStr">
        <is>
          <t>WSTG-APIT-04</t>
        </is>
      </c>
      <c r="C140" s="15">
        <f>HYPERLINK("https://owasp.org/www-project-web-security-testing-guide/latest/4-Web_Application_Security_Testing/12-API_Testing/04-API_Broken_Function_Level_Authorization", "API Broken Function Level Authorization")</f>
        <v/>
      </c>
      <c r="D140"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40" s="18" t="inlineStr">
        <is>
          <t>Not Started</t>
        </is>
      </c>
      <c r="F140" s="18" t="n"/>
    </row>
    <row r="141" ht="66" customHeight="1" s="82">
      <c r="A141" s="19" t="n"/>
      <c r="B141" s="34" t="inlineStr">
        <is>
          <t>WSTG-APIT-99</t>
        </is>
      </c>
      <c r="C141" s="15">
        <f>HYPERLINK("https://owasp.org/www-project-web-security-testing-guide/latest/4-Web_Application_Security_Testing/12-API_Testing/99-GraphQL", "GraphQL")</f>
        <v/>
      </c>
      <c r="D141" s="16" t="inlineStr">
        <is>
          <t>- Assess that a secure and production-ready configuration is deployed.
- Validate all input fields against generic attacks.
- Ensure that proper access controls are applied.</t>
        </is>
      </c>
      <c r="E141" s="18" t="inlineStr">
        <is>
          <t>Not Started</t>
        </is>
      </c>
      <c r="F141" s="18" t="n"/>
    </row>
    <row r="142" ht="15" customHeight="1" s="82">
      <c r="A142" s="97" t="n"/>
      <c r="B142" s="98" t="n"/>
      <c r="C142" s="99" t="n"/>
      <c r="D142" s="99" t="n"/>
      <c r="E142" s="99" t="n"/>
      <c r="F142"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2">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7 E138 E139 E140 E141"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2026-10-14T22:36:47Z</dcterms:created>
  <dcterms:modified xsi:type="dcterms:W3CDTF">2026-10-14T22:36:48Z</dcterms:modified>
  <cp:lastModifiedBy>Rejah Rehim</cp:lastModifiedBy>
</cp:coreProperties>
</file>