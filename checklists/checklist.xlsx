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39"/>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"Test RIA Cross Domain Policy")</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"Test File Permission")</f>
        <v/>
      </c>
      <c r="D26" s="16" t="inlineStr">
        <is>
          <t>- Review and identify any rogue file permissions.</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"Test Path Confusion")</f>
        <v/>
      </c>
      <c r="D30" s="16" t="inlineStr">
        <is>
          <t>- Make sure application paths are configured correctly.</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HYPERLINK("https://owasp.org/www-project-web-security-testing-guide/latest/4-Web_Application_Security_Testing/03-Identity_Management_Testing/01-Test_Role_Definitions", "Test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HYPERLINK("https://owasp.org/www-project-web-security-testing-guide/latest/4-Web_Application_Security_Testing/03-Identity_Management_Testing/02-Test_User_Registration_Process", "Test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HYPERLINK("https://owasp.org/www-project-web-security-testing-guide/latest/4-Web_Application_Security_Testing/03-Identity_Management_Testing/03-Test_Account_Provisioning_Process", "Test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"Testing for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"Testing for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HYPERLINK("https://owasp.org/www-project-web-security-testing-guide/latest/4-Web_Application_Security_Testing/04-Authentication_Testing/02-Testing_for_Default_Credentials", "Testing for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HYPERLINK("https://owasp.org/www-project-web-security-testing-guide/latest/4-Web_Application_Security_Testing/04-Authentication_Testing/03-Testing_for_Weak_Lock_Out_Mechanism", "Testing for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"Testing for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"Testing for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"Testing for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HYPERLINK("https://owasp.org/www-project-web-security-testing-guide/latest/4-Web_Application_Security_Testing/04-Authentication_Testing/07-Testing_for_Weak_Authentication_Methods", "Testing for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HYPERLINK("https://owasp.org/www-project-web-security-testing-guide/latest/4-Web_Application_Security_Testing/04-Authentication_Testing/08-Testing_for_Weak_Security_Question_Answer", "Testing for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"Testing for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HYPERLINK("https://owasp.org/www-project-web-security-testing-guide/latest/4-Web_Application_Security_Testing/04-Authentication_Testing/10-Testing_for_Weaker_Authentication_in_Alternative_Channel", "Testing for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HYPERLINK("https://owasp.org/www-project-web-security-testing-guide/latest/4-Web_Application_Security_Testing/04-Authentication_Testing/11-Testing_Multi-Factor_Authentication", "Testing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HYPERLINK("https://owasp.org/www-project-web-security-testing-guide/latest/4-Web_Application_Security_Testing/05-Authorization_Testing/01-Testing_Directory_Traversal_File_Include", "Testing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"Testing for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HYPERLINK("https://owasp.org/www-project-web-security-testing-guide/latest/4-Web_Application_Security_Testing/05-Authorization_Testing/03-Testing_for_Privilege_Escalation", "Testing for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HYPERLINK("https://owasp.org/www-project-web-security-testing-guide/latest/4-Web_Application_Security_Testing/05-Authorization_Testing/04-Testing_for_Insecure_Direct_Object_References", "Testing for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HYPERLINK("https://owasp.org/www-project-web-security-testing-guide/latest/4-Web_Application_Security_Testing/06-Session_Management_Testing/01-Testing_for_Session_Management_Schema", "Testing for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HYPERLINK("https://owasp.org/www-project-web-security-testing-guide/latest/4-Web_Application_Security_Testing/06-Session_Management_Testing/02-Testing_for_Cookies_Attributes", "Testing for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HYPERLINK("https://owasp.org/www-project-web-security-testing-guide/latest/4-Web_Application_Security_Testing/06-Session_Management_Testing/03-Testing_for_Session_Fixation", "Testing for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HYPERLINK("https://owasp.org/www-project-web-security-testing-guide/latest/4-Web_Application_Security_Testing/06-Session_Management_Testing/04-Testing_for_Exposed_Session_Variables", "Testing for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"Testing for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HYPERLINK("https://owasp.org/www-project-web-security-testing-guide/latest/4-Web_Application_Security_Testing/06-Session_Management_Testing/06-Testing_for_Logout_Functionality", "Testing for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"Testing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HYPERLINK("https://owasp.org/www-project-web-security-testing-guide/latest/4-Web_Application_Security_Testing/06-Session_Management_Testing/08-Testing_for_Session_Puzzling", "Testing for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HYPERLINK("https://owasp.org/www-project-web-security-testing-guide/latest/4-Web_Application_Security_Testing/06-Session_Management_Testing/09-Testing_for_Session_Hijacking", "Testing for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HYPERLINK("https://owasp.org/www-project-web-security-testing-guide/latest/4-Web_Application_Security_Testing/06-Session_Management_Testing/10-Testing_JSON_Web_Tokens", "Testing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HYPERLINK("https://owasp.org/www-project-web-security-testing-guide/latest/4-Web_Application_Security_Testing/06-Session_Management_Testing/11-Testing_for_Concurrent_Sessions", "Testing for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49.5" customHeight="1" s="82">
      <c r="A74" s="19" t="n"/>
      <c r="B74" s="34" t="inlineStr">
        <is>
          <t>WSTG-INPV-01</t>
        </is>
      </c>
      <c r="C74" s="15">
        <f>HYPERLINK("https://owasp.org/www-project-web-security-testing-guide/latest/4-Web_Application_Security_Testing/07-Input_Validation_Testing/01-Testing_for_Reflected_Cross_Site_Scripting", "Testing for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WSTG-INPV-02</t>
        </is>
      </c>
      <c r="C75" s="15">
        <f>HYPERLINK("https://owasp.org/www-project-web-security-testing-guide/latest/4-Web_Application_Security_Testing/07-Input_Validation_Testing/02-Testing_for_Stored_Cross_Site_Scripting", "Testing for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"Testing for HTTP Verb Tampering")</f>
        <v/>
      </c>
      <c r="D76" s="16" t="inlineStr">
        <is>
          <t>N/A</t>
        </is>
      </c>
      <c r="E76" s="18" t="inlineStr">
        <is>
          <t>Not Started</t>
        </is>
      </c>
      <c r="F76" s="18" t="n"/>
    </row>
    <row r="77" ht="49.5" customHeight="1" s="82">
      <c r="A77" s="19" t="n"/>
      <c r="B77" s="34" t="inlineStr">
        <is>
          <t>WSTG-INPV-04</t>
        </is>
      </c>
      <c r="C77" s="15">
        <f>HYPERLINK("https://owasp.org/www-project-web-security-testing-guide/latest/4-Web_Application_Security_Testing/07-Input_Validation_Testing/04-Testing_for_HTTP_Parameter_Pollution", "Testing for HTTP Parameter Pollution")</f>
        <v/>
      </c>
      <c r="D77" s="16" t="inlineStr">
        <is>
          <t>- Identify the backend and the parsing method used.
- Assess injection points and try bypassing input filters using HPP.</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WSTG-INPV-06</t>
        </is>
      </c>
      <c r="C79" s="15">
        <f>HYPERLINK("https://owasp.org/www-project-web-security-testing-guide/latest/4-Web_Application_Security_Testing/07-Input_Validation_Testing/06-Testing_for_LDAP_Injection", "Testing for LDAP Injection")</f>
        <v/>
      </c>
      <c r="D79" s="16" t="inlineStr">
        <is>
          <t>- Identify LDAP injection points.
- Assess the severity of the injection.</t>
        </is>
      </c>
      <c r="E79" s="18" t="inlineStr">
        <is>
          <t>Not Started</t>
        </is>
      </c>
      <c r="F79" s="18" t="n"/>
    </row>
    <row r="80" ht="49.5" customHeight="1" s="82">
      <c r="A80" s="19" t="n"/>
      <c r="B80" s="34" t="inlineStr">
        <is>
          <t>WSTG-INPV-07</t>
        </is>
      </c>
      <c r="C80" s="15">
        <f>HYPERLINK("https://owasp.org/www-project-web-security-testing-guide/latest/4-Web_Application_Security_Testing/07-Input_Validation_Testing/07-Testing_for_XML_Injection", "Testing for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WSTG-INPV-08</t>
        </is>
      </c>
      <c r="C81" s="15">
        <f>HYPERLINK("https://owasp.org/www-project-web-security-testing-guide/latest/4-Web_Application_Security_Testing/07-Input_Validation_Testing/08-Testing_for_SSI_Injection", "Testing for SSI Injection")</f>
        <v/>
      </c>
      <c r="D81" s="16" t="inlineStr">
        <is>
          <t>- Identify SSI injection points.
- Assess the severity of the injection.</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"Testing for XPath Injection")</f>
        <v/>
      </c>
      <c r="D82" s="16" t="inlineStr">
        <is>
          <t>- Identify XPATH injection points.</t>
        </is>
      </c>
      <c r="E82" s="18" t="inlineStr">
        <is>
          <t>Not Started</t>
        </is>
      </c>
      <c r="F82" s="18" t="n"/>
    </row>
    <row r="83" ht="66" customHeight="1" s="82">
      <c r="A83" s="19" t="n"/>
      <c r="B83" s="34" t="inlineStr">
        <is>
          <t>WSTG-INPV-10</t>
        </is>
      </c>
      <c r="C83" s="15">
        <f>HYPERLINK("https://owasp.org/www-project-web-security-testing-guide/latest/4-Web_Application_Security_Testing/07-Input_Validation_Testing/10-Testing_for_IMAP_SMTP_Injection", "Testing for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WSTG-INPV-11</t>
        </is>
      </c>
      <c r="C84" s="15">
        <f>HYPERLINK("https://owasp.org/www-project-web-security-testing-guide/latest/4-Web_Application_Security_Testing/07-Input_Validation_Testing/11-Testing_for_Code_Injection", "Testing for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WSTG-INPV-12</t>
        </is>
      </c>
      <c r="C85" s="15">
        <f>HYPERLINK("https://owasp.org/www-project-web-security-testing-guide/latest/4-Web_Application_Security_Testing/07-Input_Validation_Testing/12-Testing_for_Command_Injection", "Testing for Command Injection")</f>
        <v/>
      </c>
      <c r="D85" s="16" t="inlineStr">
        <is>
          <t>- Identify and assess command injection points.
- Bypass special characters and OS commands filter.</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"Testing for Buffer Overflow")</f>
        <v/>
      </c>
      <c r="D86" s="16" t="inlineStr">
        <is>
          <t>N/A</t>
        </is>
      </c>
      <c r="E86" s="18" t="inlineStr">
        <is>
          <t>Not Started</t>
        </is>
      </c>
      <c r="F86" s="18" t="n"/>
    </row>
    <row r="87" ht="49.5" customHeight="1" s="82">
      <c r="A87" s="19" t="n"/>
      <c r="B87" s="34" t="inlineStr">
        <is>
          <t>WSTG-INPV-13</t>
        </is>
      </c>
      <c r="C87" s="15">
        <f>HYPERLINK("https://owasp.org/www-project-web-security-testing-guide/latest/4-Web_Application_Security_Testing/07-Input_Validation_Testing/13-Testing_for_Format_String_Injection", "Testing for Format String Injection")</f>
        <v/>
      </c>
      <c r="D87" s="16" t="inlineStr">
        <is>
          <t>- Assess whether injecting format string conversion specifiers into user-controlled fields causes undesired behavior from the application.</t>
        </is>
      </c>
      <c r="E87" s="18" t="inlineStr">
        <is>
          <t>Not Started</t>
        </is>
      </c>
      <c r="F87" s="18" t="n"/>
    </row>
    <row r="88" ht="66" customHeight="1" s="82">
      <c r="A88" s="19" t="n"/>
      <c r="B88" s="34" t="inlineStr">
        <is>
          <t>WSTG-INPV-14</t>
        </is>
      </c>
      <c r="C88" s="15">
        <f>HYPERLINK("https://owasp.org/www-project-web-security-testing-guide/latest/4-Web_Application_Security_Testing/07-Input_Validation_Testing/14-Testing_for_Incubated_Vulnerability", "Testing for Incubated Vulnerability")</f>
        <v/>
      </c>
      <c r="D88" s="16" t="inlineStr">
        <is>
          <t>- Identify injections that are stored and require a recall step to the stored injection.
- Understand how a recall step could occur.
- Set listeners or activate the recall step if possible.</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49.5" customHeight="1" s="82">
      <c r="A91" s="19" t="n"/>
      <c r="B91" s="34" t="inlineStr">
        <is>
          <t>WSTG-INPV-17</t>
        </is>
      </c>
      <c r="C91" s="15">
        <f>HYPERLINK("https://owasp.org/www-project-web-security-testing-guide/latest/4-Web_Application_Security_Testing/07-Input_Validation_Testing/17-Testing_for_Host_Header_Injection", "Testing for Host Header Injection")</f>
        <v/>
      </c>
      <c r="D91" s="16" t="inlineStr">
        <is>
          <t>- Assess if the Host header is being parsed dynamically in the application.
- Bypass security controls that rely on the header.</t>
        </is>
      </c>
      <c r="E91" s="18" t="inlineStr">
        <is>
          <t>Not Started</t>
        </is>
      </c>
      <c r="F91" s="18" t="n"/>
    </row>
    <row r="92" ht="49.5" customHeight="1" s="82">
      <c r="A92" s="19" t="n"/>
      <c r="B92" s="34" t="inlineStr">
        <is>
          <t>WSTG-INPV-18</t>
        </is>
      </c>
      <c r="C92" s="15">
        <f>HYPERLINK("https://owasp.org/www-project-web-security-testing-guide/latest/4-Web_Application_Security_Testing/07-Input_Validation_Testing/18-Testing_for_Server-side_Template_Injection", "Testing for Server-side Template Injection")</f>
        <v/>
      </c>
      <c r="D92" s="16" t="inlineStr">
        <is>
          <t>- Detect template injection vulnerability points.
- Identify the templating engine.
- Build the exploit.</t>
        </is>
      </c>
      <c r="E92" s="18" t="inlineStr">
        <is>
          <t>Not Started</t>
        </is>
      </c>
      <c r="F92" s="18" t="n"/>
    </row>
    <row r="93" ht="49.5" customHeight="1" s="82">
      <c r="A93" s="19" t="n"/>
      <c r="B93" s="34" t="inlineStr">
        <is>
          <t>WSTG-INPV-19</t>
        </is>
      </c>
      <c r="C93" s="15">
        <f>HYPERLINK("https://owasp.org/www-project-web-security-testing-guide/latest/4-Web_Application_Security_Testing/07-Input_Validation_Testing/19-Testing_for_Server-Side_Request_Forgery", "Testing for Server-Side Request Forgery")</f>
        <v/>
      </c>
      <c r="D93" s="16" t="inlineStr">
        <is>
          <t>- Identify SSRF injection points.
- Test if the injection points are exploitable.
- Asses the severity of the vulnerability.</t>
        </is>
      </c>
      <c r="E93" s="18" t="inlineStr">
        <is>
          <t>Not Started</t>
        </is>
      </c>
      <c r="F93" s="18" t="n"/>
    </row>
    <row r="94" ht="49.5" customHeight="1" s="82">
      <c r="A94" s="19" t="n"/>
      <c r="B94" s="34" t="inlineStr">
        <is>
          <t>WSTG-INPV-20</t>
        </is>
      </c>
      <c r="C94" s="15">
        <f>HYPERLINK("https://owasp.org/www-project-web-security-testing-guide/latest/4-Web_Application_Security_Testing/07-Input_Validation_Testing/20-Testing_for_Mass_Assignment", "Testing for Mass Assignment")</f>
        <v/>
      </c>
      <c r="D94" s="16" t="inlineStr">
        <is>
          <t>- Identify requests that modify objects
- Assess if it is possible to modify fields never intended to be modified from outside</t>
        </is>
      </c>
      <c r="E94" s="18" t="inlineStr">
        <is>
          <t>Not Started</t>
        </is>
      </c>
      <c r="F94" s="18" t="n"/>
    </row>
    <row r="95" ht="15" customHeight="1" s="82">
      <c r="A95" s="97" t="n"/>
      <c r="B95" s="98" t="n"/>
      <c r="C95" s="99" t="n"/>
      <c r="D95" s="99" t="n"/>
      <c r="E95" s="99" t="n"/>
      <c r="F95" s="99" t="n"/>
    </row>
    <row r="96" ht="47.25" customHeight="1" s="82">
      <c r="A96" s="9" t="n"/>
      <c r="B96" s="100" t="inlineStr">
        <is>
          <t>Testing for Error Handling</t>
        </is>
      </c>
      <c r="C96" s="101" t="inlineStr">
        <is>
          <t>Test Name</t>
        </is>
      </c>
      <c r="D96" s="101" t="inlineStr">
        <is>
          <t>Objectives</t>
        </is>
      </c>
      <c r="E96" s="101" t="inlineStr">
        <is>
          <t>Status</t>
        </is>
      </c>
      <c r="F96" s="101" t="inlineStr">
        <is>
          <t>Notes</t>
        </is>
      </c>
    </row>
    <row r="97" ht="33" customHeight="1" s="82">
      <c r="A97" s="19" t="n"/>
      <c r="B97" s="34" t="inlineStr">
        <is>
          <t>WSTG-ERRH-01</t>
        </is>
      </c>
      <c r="C97" s="15">
        <f>HYPERLINK("https://owasp.org/www-project-web-security-testing-guide/latest/4-Web_Application_Security_Testing/08-Testing_for_Error_Handling/01-Testing_For_Improper_Error_Handling", "Testing for Improper Error Handling")</f>
        <v/>
      </c>
      <c r="D97" s="16" t="inlineStr">
        <is>
          <t>- Identify existing error output.
- Analyze the different output returned.</t>
        </is>
      </c>
      <c r="E97" s="18" t="inlineStr">
        <is>
          <t>Not Started</t>
        </is>
      </c>
      <c r="F97" s="18" t="n"/>
    </row>
    <row r="98" ht="16.5" customHeight="1" s="82">
      <c r="A98" s="19" t="n"/>
      <c r="B98" s="34" t="inlineStr">
        <is>
          <t>WSTG-ERRH-02</t>
        </is>
      </c>
      <c r="C98" s="15">
        <f>HYPERLINK("https://owasp.org/www-project-web-security-testing-guide/latest/4-Web_Application_Security_Testing/08-Testing_for_Error_Handling/02-Testing_for_Stack_Traces", "Testing for Stack Traces")</f>
        <v/>
      </c>
      <c r="D98" s="16" t="inlineStr">
        <is>
          <t>N/A</t>
        </is>
      </c>
      <c r="E98" s="18" t="inlineStr">
        <is>
          <t>Not Started</t>
        </is>
      </c>
      <c r="F98" s="18" t="n"/>
    </row>
    <row r="99" ht="15" customHeight="1" s="82">
      <c r="A99" s="97" t="n"/>
      <c r="B99" s="98" t="n"/>
      <c r="C99" s="99" t="n"/>
      <c r="D99" s="99" t="n"/>
      <c r="E99" s="99" t="n"/>
      <c r="F99" s="99" t="n"/>
    </row>
    <row r="100" ht="47.25" customHeight="1" s="82">
      <c r="A100" s="9" t="n"/>
      <c r="B100" s="100" t="inlineStr">
        <is>
          <t>Testing for Weak Cryptography</t>
        </is>
      </c>
      <c r="C100" s="101" t="inlineStr">
        <is>
          <t>Test Name</t>
        </is>
      </c>
      <c r="D100" s="101" t="inlineStr">
        <is>
          <t>Objectives</t>
        </is>
      </c>
      <c r="E100" s="101" t="inlineStr">
        <is>
          <t>Status</t>
        </is>
      </c>
      <c r="F100" s="101" t="inlineStr">
        <is>
          <t>Notes</t>
        </is>
      </c>
    </row>
    <row r="101" ht="82.5" customHeight="1" s="82">
      <c r="A101" s="19" t="n"/>
      <c r="B101" s="34" t="inlineStr">
        <is>
          <t>WSTG-CRYP-01</t>
        </is>
      </c>
      <c r="C101" s="15">
        <f>HYPERLINK("https://owasp.org/www-project-web-security-testing-guide/latest/4-Web_Application_Security_Testing/09-Testing_for_Weak_Cryptography/01-Testing_for_Weak_Transport_Layer_Security", "Testing for Weak Transport Layer Security")</f>
        <v/>
      </c>
      <c r="D101" s="16" t="inlineStr">
        <is>
          <t>- Validate the service configuration.
- Review the digital certificate's cryptographic strength and validity.
- Ensure that the TLS security is not bypassable and is properly implemented across the application.</t>
        </is>
      </c>
      <c r="E101" s="18" t="inlineStr">
        <is>
          <t>Not Started</t>
        </is>
      </c>
      <c r="F101" s="18" t="n"/>
    </row>
    <row r="102" ht="49.5" customHeight="1" s="82">
      <c r="A102" s="19" t="n"/>
      <c r="B102" s="34" t="inlineStr">
        <is>
          <t>WSTG-CRYP-02</t>
        </is>
      </c>
      <c r="C102" s="15">
        <f>HYPERLINK("https://owasp.org/www-project-web-security-testing-guide/latest/4-Web_Application_Security_Testing/09-Testing_for_Weak_Cryptography/02-Testing_for_Padding_Oracle", "Testing for Padding Oracle")</f>
        <v/>
      </c>
      <c r="D102" s="16" t="inlineStr">
        <is>
          <t>- Identify encrypted messages that rely on padding.
- Attempt to break the padding of the encrypted messages and analyze the returned error messages for further analysis.</t>
        </is>
      </c>
      <c r="E102" s="18" t="inlineStr">
        <is>
          <t>Not Started</t>
        </is>
      </c>
      <c r="F102" s="18" t="n"/>
    </row>
    <row r="103" ht="49.5" customHeight="1" s="82">
      <c r="A103" s="19" t="n"/>
      <c r="B103" s="34" t="inlineStr">
        <is>
          <t>WSTG-CRYP-03</t>
        </is>
      </c>
      <c r="C103" s="15">
        <f>HYPERLINK("https://owasp.org/www-project-web-security-testing-guide/latest/4-Web_Application_Security_Testing/09-Testing_for_Weak_Cryptography/03-Testing_for_Sensitive_Information_Sent_via_Unencrypted_Channels", "Testing for Sensitive Information Sent via Unencrypted Channels")</f>
        <v/>
      </c>
      <c r="D103" s="16" t="inlineStr">
        <is>
          <t>- Identify sensitive information transmitted through the various channels.
- Assess the privacy and security of the channels used.</t>
        </is>
      </c>
      <c r="E103" s="18" t="inlineStr">
        <is>
          <t>Not Started</t>
        </is>
      </c>
      <c r="F103" s="18" t="n"/>
    </row>
    <row r="104" ht="33" customHeight="1" s="82">
      <c r="A104" s="19" t="n"/>
      <c r="B104" s="34" t="inlineStr">
        <is>
          <t>WSTG-CRYP-04</t>
        </is>
      </c>
      <c r="C104" s="15">
        <f>HYPERLINK("https://owasp.org/www-project-web-security-testing-guide/latest/4-Web_Application_Security_Testing/09-Testing_for_Weak_Cryptography/04-Testing_for_Weak_Encryption", "Testing for Weak Encryption")</f>
        <v/>
      </c>
      <c r="D104" s="16" t="inlineStr">
        <is>
          <t>- Provide a guideline for the identification weak encryption or hashing uses and implementations.</t>
        </is>
      </c>
      <c r="E104" s="18" t="inlineStr">
        <is>
          <t>Not Started</t>
        </is>
      </c>
      <c r="F104" s="18" t="n"/>
    </row>
    <row r="105" ht="15" customHeight="1" s="82">
      <c r="A105" s="97" t="n"/>
      <c r="B105" s="98" t="n"/>
      <c r="C105" s="99" t="n"/>
      <c r="D105" s="99" t="n"/>
      <c r="E105" s="99" t="n"/>
      <c r="F105" s="99" t="n"/>
    </row>
    <row r="106" ht="47.25" customHeight="1" s="82">
      <c r="A106" s="9" t="n"/>
      <c r="B106" s="100" t="inlineStr">
        <is>
          <t>Business Logic Testing</t>
        </is>
      </c>
      <c r="C106" s="101" t="inlineStr">
        <is>
          <t>Test Name</t>
        </is>
      </c>
      <c r="D106" s="101" t="inlineStr">
        <is>
          <t>Objectives</t>
        </is>
      </c>
      <c r="E106" s="101" t="inlineStr">
        <is>
          <t>Status</t>
        </is>
      </c>
      <c r="F106" s="101" t="inlineStr">
        <is>
          <t>Notes</t>
        </is>
      </c>
    </row>
    <row r="107" ht="82.5" customHeight="1" s="82">
      <c r="A107" s="19" t="n"/>
      <c r="B107" s="34" t="inlineStr">
        <is>
          <t>WSTG-BUSL-01</t>
        </is>
      </c>
      <c r="C107" s="15">
        <f>HYPERLINK("https://owasp.org/www-project-web-security-testing-guide/latest/4-Web_Application_Security_Testing/10-Business_Logic_Testing/01-Test_Business_Logic_Data_Validation", "Test Business Logic Data Validation")</f>
        <v/>
      </c>
      <c r="D107" s="16" t="inlineStr">
        <is>
          <t>- Identify data injection points.
- Validate that all checks are occurring on the backend and can't be bypassed.
- Attempt to break the format of the expected data and analyze how the application is handling it.</t>
        </is>
      </c>
      <c r="E107" s="18" t="inlineStr">
        <is>
          <t>Not Started</t>
        </is>
      </c>
      <c r="F107" s="18" t="n"/>
    </row>
    <row r="108" ht="66" customHeight="1" s="82">
      <c r="A108" s="19" t="n"/>
      <c r="B108" s="34" t="inlineStr">
        <is>
          <t>WSTG-BUSL-02</t>
        </is>
      </c>
      <c r="C108" s="15">
        <f>HYPERLINK("https://owasp.org/www-project-web-security-testing-guide/latest/4-Web_Application_Security_Testing/10-Business_Logic_Testing/02-Test_Ability_to_Forge_Requests", "Test Ability to Forge Requests")</f>
        <v/>
      </c>
      <c r="D108" s="16" t="inlineStr">
        <is>
          <t>- Review the project documentation looking for guessable, predictable, or hidden functionality of fields.
- Insert logically valid data in order to bypass normal business logic workflow.</t>
        </is>
      </c>
      <c r="E108" s="18" t="inlineStr">
        <is>
          <t>Not Started</t>
        </is>
      </c>
      <c r="F108" s="18" t="n"/>
    </row>
    <row r="109" ht="148.5" customHeight="1" s="82">
      <c r="A109" s="19" t="n"/>
      <c r="B109" s="34" t="inlineStr">
        <is>
          <t>WSTG-BUSL-03</t>
        </is>
      </c>
      <c r="C109" s="15">
        <f>HYPERLINK("https://owasp.org/www-project-web-security-testing-guide/latest/4-Web_Application_Security_Testing/10-Business_Logic_Testing/03-Test_Integrity_Checks", "Test Integrity Checks")</f>
        <v/>
      </c>
      <c r="D109"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09" s="18" t="inlineStr">
        <is>
          <t>Not Started</t>
        </is>
      </c>
      <c r="F109" s="18" t="n"/>
    </row>
    <row r="110" ht="49.5" customHeight="1" s="82">
      <c r="A110" s="19" t="n"/>
      <c r="B110" s="34" t="inlineStr">
        <is>
          <t>WSTG-BUSL-04</t>
        </is>
      </c>
      <c r="C110" s="15">
        <f>HYPERLINK("https://owasp.org/www-project-web-security-testing-guide/latest/4-Web_Application_Security_Testing/10-Business_Logic_Testing/04-Test_for_Process_Timing", "Test for Process Timing")</f>
        <v/>
      </c>
      <c r="D110" s="16" t="inlineStr">
        <is>
          <t>- Review the project documentation for system functionality that may be impacted by time.
- Develop and execute misuse cases.</t>
        </is>
      </c>
      <c r="E110" s="18" t="inlineStr">
        <is>
          <t>Not Started</t>
        </is>
      </c>
      <c r="F110" s="18" t="n"/>
    </row>
    <row r="111" ht="66" customHeight="1" s="82">
      <c r="A111" s="19" t="n"/>
      <c r="B111" s="34" t="inlineStr">
        <is>
          <t>WSTG-BUSL-05</t>
        </is>
      </c>
      <c r="C111" s="15">
        <f>HYPERLINK("https://owasp.org/www-project-web-security-testing-guide/latest/4-Web_Application_Security_Testing/10-Business_Logic_Testing/05-Test_Number_of_Times_a_Function_Can_Be_Used_Limits", "Test Number of Times a Function Can Be Used Limits")</f>
        <v/>
      </c>
      <c r="D111" s="16" t="inlineStr">
        <is>
          <t>- Identify functions that must set limits to the times they can be called.
- Assess if there is a logical limit set on the functions and if it is properly validated.</t>
        </is>
      </c>
      <c r="E111" s="18" t="inlineStr">
        <is>
          <t>Not Started</t>
        </is>
      </c>
      <c r="F111" s="18" t="n"/>
    </row>
    <row r="112" ht="82.5" customHeight="1" s="82">
      <c r="A112" s="19" t="n"/>
      <c r="B112" s="34" t="inlineStr">
        <is>
          <t>WSTG-BUSL-06</t>
        </is>
      </c>
      <c r="C112" s="15">
        <f>HYPERLINK("https://owasp.org/www-project-web-security-testing-guide/latest/4-Web_Application_Security_Testing/10-Business_Logic_Testing/06-Testing_for_the_Circumvention_of_Work_Flows", "Testing for the Circumvention of Work Flows")</f>
        <v/>
      </c>
      <c r="D112" s="16" t="inlineStr">
        <is>
          <t>- Review the project documentation for methods to skip or go through steps in the application process in a different order from the intended business logic flow.
- Develop a misuse case and try to circumvent every logic flow identified.</t>
        </is>
      </c>
      <c r="E112" s="18" t="inlineStr">
        <is>
          <t>Not Started</t>
        </is>
      </c>
      <c r="F112" s="18" t="n"/>
    </row>
    <row r="113" ht="99" customHeight="1" s="82">
      <c r="A113" s="19" t="n"/>
      <c r="B113" s="34" t="inlineStr">
        <is>
          <t>WSTG-BUSL-07</t>
        </is>
      </c>
      <c r="C113" s="15">
        <f>HYPERLINK("https://owasp.org/www-project-web-security-testing-guide/latest/4-Web_Application_Security_Testing/10-Business_Logic_Testing/07-Test_Defenses_Against_Application_Misuse", "Test Defenses Against Application Misuse")</f>
        <v/>
      </c>
      <c r="D113"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3" s="18" t="inlineStr">
        <is>
          <t>Not Started</t>
        </is>
      </c>
      <c r="F113" s="18" t="n"/>
    </row>
    <row r="114" ht="99" customHeight="1" s="82">
      <c r="A114" s="19" t="n"/>
      <c r="B114" s="34" t="inlineStr">
        <is>
          <t>WSTG-BUSL-08</t>
        </is>
      </c>
      <c r="C114" s="15">
        <f>HYPERLINK("https://owasp.org/www-project-web-security-testing-guide/latest/4-Web_Application_Security_Testing/10-Business_Logic_Testing/08-Test_Upload_of_Unexpected_File_Types", "Test Upload of Unexpected File Types")</f>
        <v/>
      </c>
      <c r="D114"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4" s="18" t="inlineStr">
        <is>
          <t>Not Started</t>
        </is>
      </c>
      <c r="F114" s="18" t="n"/>
    </row>
    <row r="115" ht="165" customHeight="1" s="82">
      <c r="A115" s="19" t="n"/>
      <c r="B115" s="34" t="inlineStr">
        <is>
          <t>WSTG-BUSL-09</t>
        </is>
      </c>
      <c r="C115" s="15">
        <f>HYPERLINK("https://owasp.org/www-project-web-security-testing-guide/latest/4-Web_Application_Security_Testing/10-Business_Logic_Testing/09-Test_Upload_of_Malicious_Files", "Test Upload of Malicious Files")</f>
        <v/>
      </c>
      <c r="D115"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5" s="18" t="inlineStr">
        <is>
          <t>Not Started</t>
        </is>
      </c>
      <c r="F115" s="18" t="n"/>
    </row>
    <row r="116" ht="66" customHeight="1" s="82">
      <c r="A116" s="19" t="n"/>
      <c r="B116" s="34" t="inlineStr">
        <is>
          <t>WSTG-BUSL-10</t>
        </is>
      </c>
      <c r="C116" s="15">
        <f>HYPERLINK("https://owasp.org/www-project-web-security-testing-guide/latest/4-Web_Application_Security_Testing/10-Business_Logic_Testing/10-Test-Payment-Functionality", "Test Payment Functionality")</f>
        <v/>
      </c>
      <c r="D116" s="16" t="inlineStr">
        <is>
          <t>- Determine whether the business logic for the e-commerce functionality is robust.
- Understand how the payment functionality works.
- Determine whether the payment functionality is secure.</t>
        </is>
      </c>
      <c r="E116" s="18" t="inlineStr">
        <is>
          <t>Not Started</t>
        </is>
      </c>
      <c r="F116" s="18" t="n"/>
    </row>
    <row r="117" ht="15" customHeight="1" s="82">
      <c r="A117" s="97" t="n"/>
      <c r="B117" s="98" t="n"/>
      <c r="C117" s="99" t="n"/>
      <c r="D117" s="99" t="n"/>
      <c r="E117" s="99" t="n"/>
      <c r="F117" s="99" t="n"/>
    </row>
    <row r="118" ht="47.25" customHeight="1" s="82">
      <c r="A118" s="9" t="n"/>
      <c r="B118" s="100" t="inlineStr">
        <is>
          <t>Client-side Testing</t>
        </is>
      </c>
      <c r="C118" s="101" t="inlineStr">
        <is>
          <t>Test Name</t>
        </is>
      </c>
      <c r="D118" s="101" t="inlineStr">
        <is>
          <t>Objectives</t>
        </is>
      </c>
      <c r="E118" s="101" t="inlineStr">
        <is>
          <t>Status</t>
        </is>
      </c>
      <c r="F118" s="101" t="inlineStr">
        <is>
          <t>Notes</t>
        </is>
      </c>
    </row>
    <row r="119" ht="33" customHeight="1" s="82">
      <c r="A119" s="19" t="n"/>
      <c r="B119" s="34" t="inlineStr">
        <is>
          <t>WSTG-CLNT-01</t>
        </is>
      </c>
      <c r="C119" s="15">
        <f>HYPERLINK("https://owasp.org/www-project-web-security-testing-guide/latest/4-Web_Application_Security_Testing/11-Client-side_Testing/01-Testing_for_DOM-based_Cross_Site_Scripting", "Testing for DOM-Based Cross Site Scripting")</f>
        <v/>
      </c>
      <c r="D119" s="16" t="inlineStr">
        <is>
          <t>- Identify DOM sinks.
- Build payloads that pertain to every sink type.</t>
        </is>
      </c>
      <c r="E119" s="18" t="inlineStr">
        <is>
          <t>Not Started</t>
        </is>
      </c>
      <c r="F119" s="18" t="n"/>
    </row>
    <row r="120" ht="16.5" customHeight="1" s="82">
      <c r="A120" s="19" t="n"/>
      <c r="B120" s="34" t="inlineStr">
        <is>
          <t>WSTG-CLNT-02</t>
        </is>
      </c>
      <c r="C120" s="15">
        <f>HYPERLINK("https://owasp.org/www-project-web-security-testing-guide/latest/4-Web_Application_Security_Testing/11-Client-side_Testing/02-Testing_for_JavaScript_Execution", "Testing for JavaScript Execution")</f>
        <v/>
      </c>
      <c r="D120" s="16" t="inlineStr">
        <is>
          <t>- Identify sinks and possible JavaScript injection points.</t>
        </is>
      </c>
      <c r="E120" s="18" t="inlineStr">
        <is>
          <t>Not Started</t>
        </is>
      </c>
      <c r="F120" s="18" t="n"/>
    </row>
    <row r="121" ht="33" customHeight="1" s="82">
      <c r="A121" s="19" t="n"/>
      <c r="B121" s="34" t="inlineStr">
        <is>
          <t>WSTG-CLNT-03</t>
        </is>
      </c>
      <c r="C121" s="15">
        <f>HYPERLINK("https://owasp.org/www-project-web-security-testing-guide/latest/4-Web_Application_Security_Testing/11-Client-side_Testing/03-Testing_for_HTML_Injection", "Testing for HTML Injection")</f>
        <v/>
      </c>
      <c r="D121" s="16" t="inlineStr">
        <is>
          <t>- Identify HTML injection points and assess the severity of the injected content.</t>
        </is>
      </c>
      <c r="E121" s="18" t="inlineStr">
        <is>
          <t>Not Started</t>
        </is>
      </c>
      <c r="F121" s="18" t="n"/>
    </row>
    <row r="122" ht="33" customHeight="1" s="82">
      <c r="A122" s="19" t="n"/>
      <c r="B122" s="34" t="inlineStr">
        <is>
          <t>WSTG-CLNT-04</t>
        </is>
      </c>
      <c r="C122" s="15">
        <f>HYPERLINK("https://owasp.org/www-project-web-security-testing-guide/latest/4-Web_Application_Security_Testing/11-Client-side_Testing/04-Testing_for_Client-side_URL_Redirect", "Testing for Client-side URL Redirect")</f>
        <v/>
      </c>
      <c r="D122" s="16" t="inlineStr">
        <is>
          <t>- Identify injection points that handle URLs or paths.
- Assess the locations that the system could redirect to.</t>
        </is>
      </c>
      <c r="E122" s="18" t="inlineStr">
        <is>
          <t>Not Started</t>
        </is>
      </c>
      <c r="F122" s="18" t="n"/>
    </row>
    <row r="123" ht="33" customHeight="1" s="82">
      <c r="A123" s="19" t="n"/>
      <c r="B123" s="34" t="inlineStr">
        <is>
          <t>WSTG-CLNT-05</t>
        </is>
      </c>
      <c r="C123" s="15">
        <f>HYPERLINK("https://owasp.org/www-project-web-security-testing-guide/latest/4-Web_Application_Security_Testing/11-Client-side_Testing/05-Testing_for_CSS_Injection", "Testing for CSS Injection")</f>
        <v/>
      </c>
      <c r="D123" s="16" t="inlineStr">
        <is>
          <t>- Identify CSS injection points.
- Assess the impact of the injection.</t>
        </is>
      </c>
      <c r="E123" s="18" t="inlineStr">
        <is>
          <t>Not Started</t>
        </is>
      </c>
      <c r="F123" s="18" t="n"/>
    </row>
    <row r="124" ht="33" customHeight="1" s="82">
      <c r="A124" s="19" t="n"/>
      <c r="B124" s="34" t="inlineStr">
        <is>
          <t>WSTG-CLNT-06</t>
        </is>
      </c>
      <c r="C124" s="15">
        <f>HYPERLINK("https://owasp.org/www-project-web-security-testing-guide/latest/4-Web_Application_Security_Testing/11-Client-side_Testing/06-Testing_for_Client-side_Resource_Manipulation", "Testing for Client-side Resource Manipulation")</f>
        <v/>
      </c>
      <c r="D124" s="16" t="inlineStr">
        <is>
          <t>- Identify sinks with weak input validation.
- Assess the impact of the resource manipulation.</t>
        </is>
      </c>
      <c r="E124" s="18" t="inlineStr">
        <is>
          <t>Not Started</t>
        </is>
      </c>
      <c r="F124" s="18" t="n"/>
    </row>
    <row r="125" ht="33" customHeight="1" s="82">
      <c r="A125" s="19" t="n"/>
      <c r="B125" s="34" t="inlineStr">
        <is>
          <t>WSTG-CLNT-07</t>
        </is>
      </c>
      <c r="C125" s="15">
        <f>HYPERLINK("https://owasp.org/www-project-web-security-testing-guide/latest/4-Web_Application_Security_Testing/11-Client-side_Testing/07-Testing_Cross_Origin_Resource_Sharing", "Testing Cross Origin Resource Sharing")</f>
        <v/>
      </c>
      <c r="D125" s="16" t="inlineStr">
        <is>
          <t>- Identify endpoints that implement CORS.
- Ensure that the CORS configuration is secure or harmless.</t>
        </is>
      </c>
      <c r="E125" s="18" t="inlineStr">
        <is>
          <t>Not Started</t>
        </is>
      </c>
      <c r="F125" s="18" t="n"/>
    </row>
    <row r="126" ht="33" customHeight="1" s="82">
      <c r="A126" s="19" t="n"/>
      <c r="B126" s="34" t="inlineStr">
        <is>
          <t>WSTG-CLNT-08</t>
        </is>
      </c>
      <c r="C126" s="15">
        <f>HYPERLINK("https://owasp.org/www-project-web-security-testing-guide/latest/4-Web_Application_Security_Testing/11-Client-side_Testing/08-Testing_for_Cross_Site_Flashing", "Testing for Cross Site Flashing")</f>
        <v/>
      </c>
      <c r="D126" s="16" t="inlineStr">
        <is>
          <t>- Decompile and analyze the application's code.
- Assess sinks inputs and unsafe method usages.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66" customHeight="1" s="82">
      <c r="A138" s="19" t="n"/>
      <c r="B138" s="34" t="inlineStr">
        <is>
          <t>WSTG-APIT-99</t>
        </is>
      </c>
      <c r="C138" s="15">
        <f>HYPERLINK("https://owasp.org/www-project-web-security-testing-guide/latest/4-Web_Application_Security_Testing/12-API_Testing/99-Testing_GraphQL", "Testing GraphQL")</f>
        <v/>
      </c>
      <c r="D138" s="16" t="inlineStr">
        <is>
          <t>- Assess that a secure and production-ready configuration is deployed.
- Validate all input fields against generic attacks.
- Ensure that proper access controls are applied.</t>
        </is>
      </c>
      <c r="E138" s="18" t="inlineStr">
        <is>
          <t>Not Started</t>
        </is>
      </c>
      <c r="F138" s="18" t="n"/>
    </row>
    <row r="139" ht="15" customHeight="1" s="82">
      <c r="A139" s="97" t="n"/>
      <c r="B139" s="98" t="n"/>
      <c r="C139" s="99" t="n"/>
      <c r="D139" s="99" t="n"/>
      <c r="E139" s="99" t="n"/>
      <c r="F139"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39">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7 E98 E101 E102 E103 E104 E107 E108 E109 E110 E111 E112 E113 E114 E115 E116 E119 E120 E121 E122 E123 E124 E125 E126 E127 E128 E129 E130 E131 E132 E133 E136 E137 E138"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2026-02-18T18:28:57Z</dcterms:created>
  <dcterms:modified xsi:type="dcterms:W3CDTF">2026-02-18T18:28:57Z</dcterms:modified>
  <cp:lastModifiedBy>Rejah Rehim</cp:lastModifiedBy>
</cp:coreProperties>
</file>